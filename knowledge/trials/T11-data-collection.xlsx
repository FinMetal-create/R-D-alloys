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Chemistry" sheetId="3" state="visible" r:id="rId3"/>
    <sheet xmlns:r="http://schemas.openxmlformats.org/officeDocument/2006/relationships" name="Process log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Lists" sheetId="6" state="hidden" r:id="rId6"/>
  </sheets>
  <definedNames>
    <definedName name="_xlnm._FilterDatabase" localSheetId="1" hidden="1">'Plan'!$A$4:$N$51</definedName>
    <definedName name="_xlnm.Print_Titles" localSheetId="1">'Plan'!$4:$4</definedName>
    <definedName name="_xlnm.Print_Titles" localSheetId="3">'Process log'!$4:$4</definedName>
    <definedName name="_xlnm._FilterDatabase" localSheetId="4" hidden="1">'Results'!$A$4:$O$404</definedName>
    <definedName name="_xlnm.Print_Titles" localSheetId="4">'Results'!$4:$4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"/>
    <numFmt numFmtId="167" formatCode="yyyy-mm-dd hh:mm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5" fillId="5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6" borderId="1" pivotButton="0" quotePrefix="0" xfId="0"/>
    <xf numFmtId="167" fontId="0" fillId="0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8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9" customWidth="1" min="3" max="3"/>
    <col width="8" customWidth="1" min="4" max="4"/>
    <col width="10" customWidth="1" min="5" max="5"/>
    <col width="14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Talum 1 (T11) — first cast: what to measure and record</t>
        </is>
      </c>
    </row>
    <row r="2">
      <c r="A2" s="2" t="inlineStr">
        <is>
          <t>Version 2026-10-12 · R-D-alloys knowledge base · results go into knowledge/trials/T11.md §4</t>
        </is>
      </c>
    </row>
    <row r="4" ht="45" customHeight="1">
      <c r="B4" s="3" t="inlineStr">
        <is>
          <t>Every value in this file calibrates the alloy models: solidification and Fe phases, recrystallisation and grain size, natural ageing, press force, can strength, surface oxide (MgO). Record what actually happened, not the targets.</t>
        </is>
      </c>
    </row>
    <row r="6">
      <c r="B6" s="4" t="inlineStr">
        <is>
          <t>How to use</t>
        </is>
      </c>
    </row>
    <row r="7">
      <c r="B7" s="3" t="inlineStr">
        <is>
          <t>1. Plan — the checklist. Do all A rows; B if time allows. Set Status and Who.</t>
        </is>
      </c>
    </row>
    <row r="8">
      <c r="B8" s="3" t="inlineStr">
        <is>
          <t>2. Chemistry — one row per spectrometer sample. Out-of-spec T11 values turn red.</t>
        </is>
      </c>
    </row>
    <row r="9">
      <c r="B9" s="3" t="inlineStr">
        <is>
          <t>3. Process log — one column per coil (T11 and the reference alloy). Grey cells calculate themselves.</t>
        </is>
      </c>
    </row>
    <row r="10">
      <c r="B10" s="3" t="inlineStr">
        <is>
          <t>4. Results — one row per single reading. Pick the Plan ID; name and unit fill in.</t>
        </is>
      </c>
    </row>
    <row r="11">
      <c r="B11" s="3" t="inlineStr">
        <is>
          <t>5. Send the file back. The data go into the T11 record and the model calibration.</t>
        </is>
      </c>
    </row>
    <row r="13">
      <c r="B13" s="4" t="inlineStr">
        <is>
          <t>Rules that make the data usable</t>
        </is>
      </c>
    </row>
    <row r="14">
      <c r="B14" s="3" t="inlineStr">
        <is>
          <t>1. Actual values with date and time. Slug age and can age are calculated from them.</t>
        </is>
      </c>
    </row>
    <row r="15">
      <c r="B15" s="3" t="inlineStr">
        <is>
          <t>2. Enter every single reading, not only the mean. The models need the scatter.</t>
        </is>
      </c>
    </row>
    <row r="16" ht="30" customHeight="1">
      <c r="B16" s="3" t="inlineStr">
        <is>
          <t>3. Same method for T11, REF and every repeat (same Brinell ball and load; conductivity at 20 °C or compensated).</t>
        </is>
      </c>
    </row>
    <row r="17">
      <c r="B17" s="3" t="inlineStr">
        <is>
          <t>4. Run the reference alloy (current production) through the same steps and tests in the same week.</t>
        </is>
      </c>
    </row>
    <row r="18">
      <c r="B18" s="3" t="inlineStr">
        <is>
          <t>5. Never delete odd results or failures; add a comment.</t>
        </is>
      </c>
    </row>
    <row r="19">
      <c r="B19" s="3" t="inlineStr">
        <is>
          <t>6. Name photos and logger files with the Sample ID.</t>
        </is>
      </c>
    </row>
    <row r="21">
      <c r="B21" s="4" t="inlineStr">
        <is>
          <t>Sample ID = Alloy-Cast-Coil-Stage-No.</t>
        </is>
      </c>
    </row>
    <row r="22">
      <c r="B22" s="3" t="inlineStr">
        <is>
          <t>Example: T11-C1-K2-SL-03 = Talum 1, cast 1, coil 2, annealed slug no. 3.</t>
        </is>
      </c>
    </row>
    <row r="23" ht="30" customHeight="1">
      <c r="B23" s="3" t="inlineStr">
        <is>
          <t>Stage codes: CH chemistry · CS cast strip · HB hot band · CR cold-rolled strip · LA lab-annealed slug · SL annealed slug · EX extruded can · CN baked can.</t>
        </is>
      </c>
    </row>
    <row r="24">
      <c r="B24" s="3" t="inlineStr">
        <is>
          <t>Position (Results): surface · quarter · centre · edge · full section.</t>
        </is>
      </c>
    </row>
    <row r="26">
      <c r="B26" s="4" t="inlineStr">
        <is>
          <t>Trial variants (if the line allows)</t>
        </is>
      </c>
    </row>
    <row r="27">
      <c r="B27" s="3" t="inlineStr">
        <is>
          <t>Slug anneal: air vs N₂, each with normal furnace cooling vs faster cooling → 4 slug lots.</t>
        </is>
      </c>
    </row>
    <row r="28" ht="30" customHeight="1">
      <c r="B28" s="3" t="inlineStr">
        <is>
          <t>Hot/cold split: all coils at the current split. Optional: one coil with more cold reduction (ε_cold ≈ 0.85–0.90, hot band ≈ 14–18 mm). This needs &lt; 50 % hot reduction, so only if the mill allows it.</t>
        </is>
      </c>
    </row>
    <row r="29">
      <c r="B29" s="3" t="inlineStr">
        <is>
          <t>Write the variant in Process log (row "Trial variant") and in Results (column "Variant").</t>
        </is>
      </c>
    </row>
    <row r="31">
      <c r="B31" s="4" t="inlineStr">
        <is>
          <t>Timeline</t>
        </is>
      </c>
    </row>
    <row r="32">
      <c r="B32" s="3" t="inlineStr">
        <is>
          <t>Day 0: melt, cast, hot roll, quench → Chemistry, Process log, cast-strip and hot-band samples.</t>
        </is>
      </c>
    </row>
    <row r="33">
      <c r="B33" s="3" t="inlineStr">
        <is>
          <t>Days 0–7: hot-band hardness at 0, 1, 3, 7 days (HB02) → cold rolling → slugs.</t>
        </is>
      </c>
    </row>
    <row r="34">
      <c r="B34" s="3" t="inlineStr">
        <is>
          <t>Anneal day: thermocouple log; slug hardness at 2–6 h, then 1, 3, 7, 30 days (SL01).</t>
        </is>
      </c>
    </row>
    <row r="35">
      <c r="B35" s="3" t="inlineStr">
        <is>
          <t>Lab: anneal series (LA01), metallography, conductivity.</t>
        </is>
      </c>
    </row>
    <row r="36">
      <c r="B36" s="3" t="inlineStr">
        <is>
          <t>Press: force with slug age, rejects, wall thickness. Bake 220 °C / 10 min: can tests 1 and 30 days after.</t>
        </is>
      </c>
    </row>
    <row r="38">
      <c r="B38" s="4" t="inlineStr">
        <is>
          <t>Example Results rows (example values, not predictions)</t>
        </is>
      </c>
    </row>
    <row r="39">
      <c r="B39" s="5" t="inlineStr">
        <is>
          <t>Date</t>
        </is>
      </c>
      <c r="C39" s="5" t="inlineStr">
        <is>
          <t>Sample ID</t>
        </is>
      </c>
      <c r="D39" s="5" t="inlineStr">
        <is>
          <t>Alloy</t>
        </is>
      </c>
      <c r="E39" s="5" t="inlineStr">
        <is>
          <t>Plan ID</t>
        </is>
      </c>
      <c r="F39" s="5" t="inlineStr">
        <is>
          <t>Position</t>
        </is>
      </c>
      <c r="G39" s="5" t="inlineStr">
        <is>
          <t>Variant</t>
        </is>
      </c>
      <c r="H39" s="5" t="inlineStr">
        <is>
          <t>Age (h)</t>
        </is>
      </c>
      <c r="I39" s="5" t="inlineStr">
        <is>
          <t>Value</t>
        </is>
      </c>
    </row>
    <row r="40">
      <c r="B40" s="6" t="inlineStr">
        <is>
          <t>2026-10-21</t>
        </is>
      </c>
      <c r="C40" s="6" t="inlineStr">
        <is>
          <t>T11-C1-K1-SL-01</t>
        </is>
      </c>
      <c r="D40" s="6" t="inlineStr">
        <is>
          <t>T11</t>
        </is>
      </c>
      <c r="E40" s="6" t="inlineStr">
        <is>
          <t>SL01</t>
        </is>
      </c>
      <c r="F40" s="6" t="inlineStr">
        <is>
          <t>full section</t>
        </is>
      </c>
      <c r="G40" s="6" t="inlineStr">
        <is>
          <t>air, furnace cool</t>
        </is>
      </c>
      <c r="H40" s="6" t="n">
        <v>4</v>
      </c>
      <c r="I40" s="6" t="n">
        <v>29.5</v>
      </c>
    </row>
    <row r="41">
      <c r="B41" s="6" t="inlineStr">
        <is>
          <t>2026-10-22</t>
        </is>
      </c>
      <c r="C41" s="6" t="inlineStr">
        <is>
          <t>T11-C1-K1-SL-01</t>
        </is>
      </c>
      <c r="D41" s="6" t="inlineStr">
        <is>
          <t>T11</t>
        </is>
      </c>
      <c r="E41" s="6" t="inlineStr">
        <is>
          <t>SL01</t>
        </is>
      </c>
      <c r="F41" s="6" t="inlineStr">
        <is>
          <t>full section</t>
        </is>
      </c>
      <c r="G41" s="6" t="inlineStr">
        <is>
          <t>air, furnace cool</t>
        </is>
      </c>
      <c r="H41" s="6" t="n">
        <v>24</v>
      </c>
      <c r="I41" s="6" t="n">
        <v>30.1</v>
      </c>
    </row>
    <row r="42">
      <c r="B42" s="6" t="inlineStr">
        <is>
          <t>2026-10-21</t>
        </is>
      </c>
      <c r="C42" s="6" t="inlineStr">
        <is>
          <t>T11-C1-K1-SL-02</t>
        </is>
      </c>
      <c r="D42" s="6" t="inlineStr">
        <is>
          <t>T11</t>
        </is>
      </c>
      <c r="E42" s="6" t="inlineStr">
        <is>
          <t>SL02</t>
        </is>
      </c>
      <c r="F42" s="6" t="inlineStr">
        <is>
          <t>centre</t>
        </is>
      </c>
      <c r="G42" s="6" t="inlineStr">
        <is>
          <t>air, furnace cool</t>
        </is>
      </c>
      <c r="H42" s="6" t="n"/>
      <c r="I42" s="6" t="n">
        <v>64</v>
      </c>
    </row>
    <row r="43">
      <c r="B43" s="6" t="inlineStr">
        <is>
          <t>2026-10-20</t>
        </is>
      </c>
      <c r="C43" s="6" t="inlineStr">
        <is>
          <t>T11-C1-K1-LA-01</t>
        </is>
      </c>
      <c r="D43" s="6" t="inlineStr">
        <is>
          <t>T11</t>
        </is>
      </c>
      <c r="E43" s="6" t="inlineStr">
        <is>
          <t>SL01</t>
        </is>
      </c>
      <c r="F43" s="6" t="inlineStr">
        <is>
          <t>full section</t>
        </is>
      </c>
      <c r="G43" s="6" t="inlineStr">
        <is>
          <t>lab 350 °C 1 h</t>
        </is>
      </c>
      <c r="H43" s="6" t="n"/>
      <c r="I43" s="6" t="n">
        <v>41</v>
      </c>
    </row>
  </sheetData>
  <mergeCells count="29">
    <mergeCell ref="B7:I7"/>
    <mergeCell ref="B16:I16"/>
    <mergeCell ref="B22:I22"/>
    <mergeCell ref="B31:I31"/>
    <mergeCell ref="B27:I27"/>
    <mergeCell ref="B18:I18"/>
    <mergeCell ref="B21:I21"/>
    <mergeCell ref="B11:I11"/>
    <mergeCell ref="B14:I14"/>
    <mergeCell ref="B23:I23"/>
    <mergeCell ref="B8:I8"/>
    <mergeCell ref="B17:I17"/>
    <mergeCell ref="B13:I13"/>
    <mergeCell ref="B35:I35"/>
    <mergeCell ref="B29:I29"/>
    <mergeCell ref="B38:I38"/>
    <mergeCell ref="B34:I34"/>
    <mergeCell ref="B10:I10"/>
    <mergeCell ref="B28:I28"/>
    <mergeCell ref="B19:I19"/>
    <mergeCell ref="B9:I9"/>
    <mergeCell ref="B15:I15"/>
    <mergeCell ref="B33:I33"/>
    <mergeCell ref="B6:I6"/>
    <mergeCell ref="B24:I24"/>
    <mergeCell ref="B36:I36"/>
    <mergeCell ref="B32:I32"/>
    <mergeCell ref="B4:I4"/>
    <mergeCell ref="B26:I2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0" customWidth="1" min="4" max="4"/>
    <col width="22" customWidth="1" min="5" max="5"/>
    <col width="24" customWidth="1" min="6" max="6"/>
    <col width="13" customWidth="1" min="7" max="7"/>
    <col width="5" customWidth="1" min="8" max="8"/>
    <col width="16" customWidth="1" min="9" max="9"/>
    <col width="38" customWidth="1" min="10" max="10"/>
    <col width="13" customWidth="1" min="11" max="11"/>
    <col width="14" customWidth="1" min="12" max="12"/>
    <col width="11" customWidth="1" min="13" max="13"/>
    <col width="10" customWidth="1" min="14" max="14"/>
  </cols>
  <sheetData>
    <row r="1">
      <c r="A1" s="1" t="inlineStr">
        <is>
          <t>Measurement plan — Talum 1 (T11)</t>
        </is>
      </c>
    </row>
    <row r="2">
      <c r="A2" s="2" t="inlineStr">
        <is>
          <t>Priority A = must, B = should. Ref = section or rule in the knowledge base.</t>
        </is>
      </c>
    </row>
    <row r="4">
      <c r="A4" s="7" t="inlineStr">
        <is>
          <t>ID</t>
        </is>
      </c>
      <c r="B4" s="7" t="inlineStr">
        <is>
          <t>Stage</t>
        </is>
      </c>
      <c r="C4" s="7" t="inlineStr">
        <is>
          <t>What to measure</t>
        </is>
      </c>
      <c r="D4" s="7" t="inlineStr">
        <is>
          <t>Unit</t>
        </is>
      </c>
      <c r="E4" s="7" t="inlineStr">
        <is>
          <t>Method / instrument</t>
        </is>
      </c>
      <c r="F4" s="7" t="inlineStr">
        <is>
          <t>Where &amp; when</t>
        </is>
      </c>
      <c r="G4" s="7" t="inlineStr">
        <is>
          <t>Samples</t>
        </is>
      </c>
      <c r="H4" s="7" t="inlineStr">
        <is>
          <t>Prio</t>
        </is>
      </c>
      <c r="I4" s="7" t="inlineStr">
        <is>
          <t>Model it feeds</t>
        </is>
      </c>
      <c r="J4" s="7" t="inlineStr">
        <is>
          <t>Why it matters</t>
        </is>
      </c>
      <c r="K4" s="7" t="inlineStr">
        <is>
          <t>Ref</t>
        </is>
      </c>
      <c r="L4" s="7" t="inlineStr">
        <is>
          <t>Record in</t>
        </is>
      </c>
      <c r="M4" s="7" t="inlineStr">
        <is>
          <t>Status</t>
        </is>
      </c>
      <c r="N4" s="7" t="inlineStr">
        <is>
          <t>Who</t>
        </is>
      </c>
    </row>
    <row r="5">
      <c r="A5" s="8" t="inlineStr">
        <is>
          <t>G01</t>
        </is>
      </c>
      <c r="B5" s="9" t="inlineStr">
        <is>
          <t>General</t>
        </is>
      </c>
      <c r="C5" s="9" t="inlineStr">
        <is>
          <t>Reference alloy: run the current production alloy through the same steps and tests in the same week</t>
        </is>
      </c>
      <c r="D5" s="9" t="inlineStr">
        <is>
          <t>–</t>
        </is>
      </c>
      <c r="E5" s="9" t="inlineStr">
        <is>
          <t>Same as T11</t>
        </is>
      </c>
      <c r="F5" s="9" t="inlineStr">
        <is>
          <t>All stages, at least from the slug anneal on</t>
        </is>
      </c>
      <c r="G5" s="9" t="inlineStr">
        <is>
          <t>Same as T11</t>
        </is>
      </c>
      <c r="H5" s="10" t="inlineStr">
        <is>
          <t>A</t>
        </is>
      </c>
      <c r="I5" s="9" t="inlineStr">
        <is>
          <t>Baseline</t>
        </is>
      </c>
      <c r="J5" s="9" t="inlineStr">
        <is>
          <t>Gives a direct T11 vs REF difference on the same furnace, press and day; removes line and day effects</t>
        </is>
      </c>
      <c r="K5" s="9" t="inlineStr">
        <is>
          <t>T11 §3</t>
        </is>
      </c>
      <c r="L5" s="9" t="inlineStr">
        <is>
          <t>All sheets (Alloy = REF)</t>
        </is>
      </c>
      <c r="M5" s="9" t="inlineStr">
        <is>
          <t>open</t>
        </is>
      </c>
      <c r="N5" s="9" t="inlineStr"/>
    </row>
    <row r="6">
      <c r="A6" s="8" t="inlineStr">
        <is>
          <t>G02</t>
        </is>
      </c>
      <c r="B6" s="9" t="inlineStr">
        <is>
          <t>General</t>
        </is>
      </c>
      <c r="C6" s="9" t="inlineStr">
        <is>
          <t>Event log: stops, strip breaks, temperature excursions, setting changes, with clock time</t>
        </is>
      </c>
      <c r="D6" s="9" t="inlineStr">
        <is>
          <t>text</t>
        </is>
      </c>
      <c r="E6" s="9" t="inlineStr">
        <is>
          <t>Operator log</t>
        </is>
      </c>
      <c r="F6" s="9" t="inlineStr">
        <is>
          <t>Whole trial</t>
        </is>
      </c>
      <c r="G6" s="9" t="inlineStr">
        <is>
          <t>–</t>
        </is>
      </c>
      <c r="H6" s="10" t="inlineStr">
        <is>
          <t>A</t>
        </is>
      </c>
      <c r="I6" s="9" t="inlineStr">
        <is>
          <t>All</t>
        </is>
      </c>
      <c r="J6" s="9" t="inlineStr">
        <is>
          <t>Lets the model explain or exclude outliers instead of learning noise</t>
        </is>
      </c>
      <c r="K6" s="9" t="inlineStr">
        <is>
          <t>–</t>
        </is>
      </c>
      <c r="L6" s="9" t="inlineStr">
        <is>
          <t>Process log (Events row)</t>
        </is>
      </c>
      <c r="M6" s="9" t="inlineStr">
        <is>
          <t>open</t>
        </is>
      </c>
      <c r="N6" s="9" t="inlineStr"/>
    </row>
    <row r="7">
      <c r="A7" s="8" t="inlineStr">
        <is>
          <t>G03</t>
        </is>
      </c>
      <c r="B7" s="9" t="inlineStr">
        <is>
          <t>General</t>
        </is>
      </c>
      <c r="C7" s="9" t="inlineStr">
        <is>
          <t>Retained samples of every stage, labelled with Sample ID</t>
        </is>
      </c>
      <c r="D7" s="9" t="inlineStr">
        <is>
          <t>–</t>
        </is>
      </c>
      <c r="E7" s="9" t="inlineStr">
        <is>
          <t>Storage</t>
        </is>
      </c>
      <c r="F7" s="9" t="inlineStr">
        <is>
          <t>≥ 1 m cast strip, ≥ 1 m hot band, ≥ 1 m as-rolled, 30 slugs and 30 cans per variant</t>
        </is>
      </c>
      <c r="G7" s="9" t="inlineStr">
        <is>
          <t>–</t>
        </is>
      </c>
      <c r="H7" s="10" t="inlineStr">
        <is>
          <t>A</t>
        </is>
      </c>
      <c r="I7" s="9" t="inlineStr">
        <is>
          <t>All</t>
        </is>
      </c>
      <c r="J7" s="9" t="inlineStr">
        <is>
          <t>Later tests (EBSD, XPS, extra ageing points) without a new cast</t>
        </is>
      </c>
      <c r="K7" s="9" t="inlineStr">
        <is>
          <t>–</t>
        </is>
      </c>
      <c r="L7" s="9" t="inlineStr">
        <is>
          <t>–</t>
        </is>
      </c>
      <c r="M7" s="9" t="inlineStr">
        <is>
          <t>open</t>
        </is>
      </c>
      <c r="N7" s="9" t="inlineStr"/>
    </row>
    <row r="8">
      <c r="A8" s="11" t="inlineStr">
        <is>
          <t>CH1</t>
        </is>
      </c>
      <c r="B8" s="12" t="inlineStr">
        <is>
          <t>Chemistry</t>
        </is>
      </c>
      <c r="C8" s="12" t="inlineStr">
        <is>
          <t>Melt chemistry before and after correction</t>
        </is>
      </c>
      <c r="D8" s="12" t="inlineStr">
        <is>
          <t>wt %</t>
        </is>
      </c>
      <c r="E8" s="12" t="inlineStr">
        <is>
          <t>OES spark spectrometer</t>
        </is>
      </c>
      <c r="F8" s="12" t="inlineStr">
        <is>
          <t>Furnace, every sample</t>
        </is>
      </c>
      <c r="G8" s="12" t="inlineStr">
        <is>
          <t>All</t>
        </is>
      </c>
      <c r="H8" s="13" t="inlineStr">
        <is>
          <t>A</t>
        </is>
      </c>
      <c r="I8" s="12" t="inlineStr">
        <is>
          <t>Scrap blend</t>
        </is>
      </c>
      <c r="J8" s="12" t="inlineStr">
        <is>
          <t>Element recovery (Fe, Mn, Ti yield) and Mg burn-off for the scrap-mix model</t>
        </is>
      </c>
      <c r="K8" s="12" t="inlineStr">
        <is>
          <t>ch16</t>
        </is>
      </c>
      <c r="L8" s="12" t="inlineStr">
        <is>
          <t>Chemistry</t>
        </is>
      </c>
      <c r="M8" s="12" t="inlineStr">
        <is>
          <t>open</t>
        </is>
      </c>
      <c r="N8" s="12" t="inlineStr"/>
    </row>
    <row r="9">
      <c r="A9" s="11" t="inlineStr">
        <is>
          <t>CH2</t>
        </is>
      </c>
      <c r="B9" s="12" t="inlineStr">
        <is>
          <t>Chemistry</t>
        </is>
      </c>
      <c r="C9" s="12" t="inlineStr">
        <is>
          <t>Cast chemistry</t>
        </is>
      </c>
      <c r="D9" s="12" t="inlineStr">
        <is>
          <t>wt %</t>
        </is>
      </c>
      <c r="E9" s="12" t="inlineStr">
        <is>
          <t>OES spark spectrometer</t>
        </is>
      </c>
      <c r="F9" s="12" t="inlineStr">
        <is>
          <t>Cast start, middle, end</t>
        </is>
      </c>
      <c r="G9" s="12" t="inlineStr">
        <is>
          <t>3 per cast</t>
        </is>
      </c>
      <c r="H9" s="13" t="inlineStr">
        <is>
          <t>A</t>
        </is>
      </c>
      <c r="I9" s="12" t="inlineStr">
        <is>
          <t>All models</t>
        </is>
      </c>
      <c r="J9" s="12" t="inlineStr">
        <is>
          <t>The actual composition is the model input, not the target</t>
        </is>
      </c>
      <c r="K9" s="12" t="inlineStr">
        <is>
          <t>T11 §1</t>
        </is>
      </c>
      <c r="L9" s="12" t="inlineStr">
        <is>
          <t>Chemistry</t>
        </is>
      </c>
      <c r="M9" s="12" t="inlineStr">
        <is>
          <t>open</t>
        </is>
      </c>
      <c r="N9" s="12" t="inlineStr"/>
    </row>
    <row r="10">
      <c r="A10" s="11" t="inlineStr">
        <is>
          <t>CH3</t>
        </is>
      </c>
      <c r="B10" s="12" t="inlineStr">
        <is>
          <t>Chemistry</t>
        </is>
      </c>
      <c r="C10" s="12" t="inlineStr">
        <is>
          <t>Through-thickness chemistry of the cast strip</t>
        </is>
      </c>
      <c r="D10" s="12" t="inlineStr">
        <is>
          <t>wt %</t>
        </is>
      </c>
      <c r="E10" s="12" t="inlineStr">
        <is>
          <t>OES on the strip surface and on strip milled to mid-thickness</t>
        </is>
      </c>
      <c r="F10" s="12" t="inlineStr">
        <is>
          <t>Mid-cast</t>
        </is>
      </c>
      <c r="G10" s="12" t="inlineStr">
        <is>
          <t>1 + 1</t>
        </is>
      </c>
      <c r="H10" s="13" t="inlineStr">
        <is>
          <t>B</t>
        </is>
      </c>
      <c r="I10" s="12" t="inlineStr">
        <is>
          <t>Solidification</t>
        </is>
      </c>
      <c r="J10" s="12" t="inlineStr">
        <is>
          <t>Centreline (Fe-rich) segregation on the rotary caster</t>
        </is>
      </c>
      <c r="K10" s="12" t="inlineStr">
        <is>
          <t>ch15; T11 §2.3</t>
        </is>
      </c>
      <c r="L10" s="12" t="inlineStr">
        <is>
          <t>Chemistry</t>
        </is>
      </c>
      <c r="M10" s="12" t="inlineStr">
        <is>
          <t>open</t>
        </is>
      </c>
      <c r="N10" s="12" t="inlineStr"/>
    </row>
    <row r="11">
      <c r="A11" s="8" t="inlineStr">
        <is>
          <t>P1</t>
        </is>
      </c>
      <c r="B11" s="9" t="inlineStr">
        <is>
          <t>Process</t>
        </is>
      </c>
      <c r="C11" s="9" t="inlineStr">
        <is>
          <t>Melt: charge weights, furnace and launder temperatures, hydrogen, grain-refiner feed and contact time</t>
        </is>
      </c>
      <c r="D11" s="9" t="inlineStr">
        <is>
          <t>various</t>
        </is>
      </c>
      <c r="E11" s="9" t="inlineStr">
        <is>
          <t>Charge sheet, thermocouple, hydrogen / density test</t>
        </is>
      </c>
      <c r="F11" s="9" t="inlineStr">
        <is>
          <t>Per cast</t>
        </is>
      </c>
      <c r="G11" s="9" t="inlineStr">
        <is>
          <t>–</t>
        </is>
      </c>
      <c r="H11" s="10" t="inlineStr">
        <is>
          <t>A</t>
        </is>
      </c>
      <c r="I11" s="9" t="inlineStr">
        <is>
          <t>Scrap blend; Solidification</t>
        </is>
      </c>
      <c r="J11" s="9" t="inlineStr">
        <is>
          <t>Refiner dose sets cast grain size and α vs β Fe phase; melt temperature sets superheat</t>
        </is>
      </c>
      <c r="K11" s="9" t="inlineStr">
        <is>
          <t>ch02 §3.8</t>
        </is>
      </c>
      <c r="L11" s="9" t="inlineStr">
        <is>
          <t>Process log</t>
        </is>
      </c>
      <c r="M11" s="9" t="inlineStr">
        <is>
          <t>open</t>
        </is>
      </c>
      <c r="N11" s="9" t="inlineStr"/>
    </row>
    <row r="12">
      <c r="A12" s="8" t="inlineStr">
        <is>
          <t>P2</t>
        </is>
      </c>
      <c r="B12" s="9" t="inlineStr">
        <is>
          <t>Process</t>
        </is>
      </c>
      <c r="C12" s="9" t="inlineStr">
        <is>
          <t>Caster: speed, strip thickness and width, cooling-water flow and temperatures, strip exit temperature, cracks</t>
        </is>
      </c>
      <c r="D12" s="9" t="inlineStr">
        <is>
          <t>various</t>
        </is>
      </c>
      <c r="E12" s="9" t="inlineStr">
        <is>
          <t>Caster log, pyrometer</t>
        </is>
      </c>
      <c r="F12" s="9" t="inlineStr">
        <is>
          <t>Continuous; note start, middle, end</t>
        </is>
      </c>
      <c r="G12" s="9" t="inlineStr">
        <is>
          <t>–</t>
        </is>
      </c>
      <c r="H12" s="10" t="inlineStr">
        <is>
          <t>A</t>
        </is>
      </c>
      <c r="I12" s="9" t="inlineStr">
        <is>
          <t>Solidification; Castability</t>
        </is>
      </c>
      <c r="J12" s="9" t="inlineStr">
        <is>
          <t>Speed and water set the cooling rate → cell size and Fe-phase type; cracks show the hot-tear limit</t>
        </is>
      </c>
      <c r="K12" s="9" t="inlineStr">
        <is>
          <t>ch15; ch01 §11</t>
        </is>
      </c>
      <c r="L12" s="9" t="inlineStr">
        <is>
          <t>Process log</t>
        </is>
      </c>
      <c r="M12" s="9" t="inlineStr">
        <is>
          <t>open</t>
        </is>
      </c>
      <c r="N12" s="9" t="inlineStr"/>
    </row>
    <row r="13">
      <c r="A13" s="8" t="inlineStr">
        <is>
          <t>P3</t>
        </is>
      </c>
      <c r="B13" s="9" t="inlineStr">
        <is>
          <t>Process</t>
        </is>
      </c>
      <c r="C13" s="9" t="inlineStr">
        <is>
          <t>Hot mill and bath: thickness in/out, temperatures in/out, speed, force, transfer times, bath and post-bath temperature</t>
        </is>
      </c>
      <c r="D13" s="9" t="inlineStr">
        <is>
          <t>various</t>
        </is>
      </c>
      <c r="E13" s="9" t="inlineStr">
        <is>
          <t>Mill log, pyrometer</t>
        </is>
      </c>
      <c r="F13" s="9" t="inlineStr">
        <is>
          <t>Per coil</t>
        </is>
      </c>
      <c r="G13" s="9" t="inlineStr">
        <is>
          <t>–</t>
        </is>
      </c>
      <c r="H13" s="10" t="inlineStr">
        <is>
          <t>A</t>
        </is>
      </c>
      <c r="I13" s="9" t="inlineStr">
        <is>
          <t>Hot flow; RX / grain size</t>
        </is>
      </c>
      <c r="J13" s="9" t="inlineStr">
        <is>
          <t>Force at known temperature and strain rate calibrates the hot flow law; the bath sets retained solute</t>
        </is>
      </c>
      <c r="K13" s="9" t="inlineStr">
        <is>
          <t>R24; ch19 §1.3</t>
        </is>
      </c>
      <c r="L13" s="9" t="inlineStr">
        <is>
          <t>Process log</t>
        </is>
      </c>
      <c r="M13" s="9" t="inlineStr">
        <is>
          <t>open</t>
        </is>
      </c>
      <c r="N13" s="9" t="inlineStr"/>
    </row>
    <row r="14">
      <c r="A14" s="8" t="inlineStr">
        <is>
          <t>P4</t>
        </is>
      </c>
      <c r="B14" s="9" t="inlineStr">
        <is>
          <t>Process</t>
        </is>
      </c>
      <c r="C14" s="9" t="inlineStr">
        <is>
          <t>Cold mill: thickness per pass, force, exit temperature; hot-band storage time</t>
        </is>
      </c>
      <c r="D14" s="9" t="inlineStr">
        <is>
          <t>various</t>
        </is>
      </c>
      <c r="E14" s="9" t="inlineStr">
        <is>
          <t>Mill log</t>
        </is>
      </c>
      <c r="F14" s="9" t="inlineStr">
        <is>
          <t>Per coil</t>
        </is>
      </c>
      <c r="G14" s="9" t="inlineStr">
        <is>
          <t>–</t>
        </is>
      </c>
      <c r="H14" s="10" t="inlineStr">
        <is>
          <t>A</t>
        </is>
      </c>
      <c r="I14" s="9" t="inlineStr">
        <is>
          <t>RX / grain size; Ageing</t>
        </is>
      </c>
      <c r="J14" s="9" t="inlineStr">
        <is>
          <t>Cold strain sets stored energy and the number of RX nuclei → grain size</t>
        </is>
      </c>
      <c r="K14" s="9" t="inlineStr">
        <is>
          <t>R14; ch19 P10</t>
        </is>
      </c>
      <c r="L14" s="9" t="inlineStr">
        <is>
          <t>Process log</t>
        </is>
      </c>
      <c r="M14" s="9" t="inlineStr">
        <is>
          <t>open</t>
        </is>
      </c>
      <c r="N14" s="9" t="inlineStr"/>
    </row>
    <row r="15">
      <c r="A15" s="8" t="inlineStr">
        <is>
          <t>P5</t>
        </is>
      </c>
      <c r="B15" s="9" t="inlineStr">
        <is>
          <t>Process</t>
        </is>
      </c>
      <c r="C15" s="9" t="inlineStr">
        <is>
          <t>Slug anneal: furnace, load, atmosphere, full temperature–time log from thermocouples in the slugs</t>
        </is>
      </c>
      <c r="D15" s="9" t="inlineStr">
        <is>
          <t>°C vs time</t>
        </is>
      </c>
      <c r="E15" s="9" t="inlineStr">
        <is>
          <t>Thermocouple logger, load centre and edge</t>
        </is>
      </c>
      <c r="F15" s="9" t="inlineStr">
        <is>
          <t>Every load</t>
        </is>
      </c>
      <c r="G15" s="9" t="inlineStr">
        <is>
          <t>–</t>
        </is>
      </c>
      <c r="H15" s="10" t="inlineStr">
        <is>
          <t>A</t>
        </is>
      </c>
      <c r="I15" s="9" t="inlineStr">
        <is>
          <t>RX / grain size; Ageing; Surface</t>
        </is>
      </c>
      <c r="J15" s="9" t="inlineStr">
        <is>
          <t>Heating rate shifts the RX temperature (up to ≈ 75 °C in Al–Mn); cooling rate decides Mg₂Si in solution vs precipitated</t>
        </is>
      </c>
      <c r="K15" s="9" t="inlineStr">
        <is>
          <t>ch03 §5.2; T11 §2.3</t>
        </is>
      </c>
      <c r="L15" s="9" t="inlineStr">
        <is>
          <t>Process log + logger file</t>
        </is>
      </c>
      <c r="M15" s="9" t="inlineStr">
        <is>
          <t>open</t>
        </is>
      </c>
      <c r="N15" s="9" t="inlineStr"/>
    </row>
    <row r="16">
      <c r="A16" s="8" t="inlineStr">
        <is>
          <t>P6</t>
        </is>
      </c>
      <c r="B16" s="9" t="inlineStr">
        <is>
          <t>Process</t>
        </is>
      </c>
      <c r="C16" s="9" t="inlineStr">
        <is>
          <t>Press: press and tool set, strokes/min, lubricant and amount, extrusion and bake dates</t>
        </is>
      </c>
      <c r="D16" s="9" t="inlineStr">
        <is>
          <t>text</t>
        </is>
      </c>
      <c r="E16" s="9" t="inlineStr">
        <is>
          <t>Press log</t>
        </is>
      </c>
      <c r="F16" s="9" t="inlineStr">
        <is>
          <t>Per lot</t>
        </is>
      </c>
      <c r="G16" s="9" t="inlineStr">
        <is>
          <t>–</t>
        </is>
      </c>
      <c r="H16" s="10" t="inlineStr">
        <is>
          <t>A</t>
        </is>
      </c>
      <c r="I16" s="9" t="inlineStr">
        <is>
          <t>Press force</t>
        </is>
      </c>
      <c r="J16" s="9" t="inlineStr">
        <is>
          <t>Context for force and reject data; dates give slug and can age</t>
        </is>
      </c>
      <c r="K16" s="9" t="inlineStr">
        <is>
          <t>ch10</t>
        </is>
      </c>
      <c r="L16" s="9" t="inlineStr">
        <is>
          <t>Process log</t>
        </is>
      </c>
      <c r="M16" s="9" t="inlineStr">
        <is>
          <t>open</t>
        </is>
      </c>
      <c r="N16" s="9" t="inlineStr"/>
    </row>
    <row r="17">
      <c r="A17" s="11" t="inlineStr">
        <is>
          <t>CS01</t>
        </is>
      </c>
      <c r="B17" s="12" t="inlineStr">
        <is>
          <t>Cast strip</t>
        </is>
      </c>
      <c r="C17" s="12" t="inlineStr">
        <is>
          <t>Cell / dendrite arm spacing (surface, quarter, centre)</t>
        </is>
      </c>
      <c r="D17" s="12" t="inlineStr">
        <is>
          <t>µm</t>
        </is>
      </c>
      <c r="E17" s="12" t="inlineStr">
        <is>
          <t>Optical metallography, line intercept</t>
        </is>
      </c>
      <c r="F17" s="12" t="inlineStr">
        <is>
          <t>Mid-cast, full-thickness section</t>
        </is>
      </c>
      <c r="G17" s="12" t="inlineStr">
        <is>
          <t>1 section</t>
        </is>
      </c>
      <c r="H17" s="13" t="inlineStr">
        <is>
          <t>A</t>
        </is>
      </c>
      <c r="I17" s="12" t="inlineStr">
        <is>
          <t>Solidification</t>
        </is>
      </c>
      <c r="J17" s="12" t="inlineStr">
        <is>
          <t>Measures the local cooling rate; sets the homogenisation time (τ ∝ l²)</t>
        </is>
      </c>
      <c r="K17" s="12" t="inlineStr">
        <is>
          <t>ch19 §1.1</t>
        </is>
      </c>
      <c r="L17" s="12" t="inlineStr">
        <is>
          <t>Results</t>
        </is>
      </c>
      <c r="M17" s="12" t="inlineStr">
        <is>
          <t>open</t>
        </is>
      </c>
      <c r="N17" s="12" t="inlineStr"/>
    </row>
    <row r="18">
      <c r="A18" s="11" t="inlineStr">
        <is>
          <t>CS02</t>
        </is>
      </c>
      <c r="B18" s="12" t="inlineStr">
        <is>
          <t>Cast strip</t>
        </is>
      </c>
      <c r="C18" s="12" t="inlineStr">
        <is>
          <t>Fe-particle type: share of β-AlFeSi (needles) among Fe-rich particles</t>
        </is>
      </c>
      <c r="D18" s="12" t="inlineStr">
        <is>
          <t>% by count</t>
        </is>
      </c>
      <c r="E18" s="12" t="inlineStr">
        <is>
          <t>SEM-EDX, α/β separator Si ≈ 0.48·(Fe+Mn)</t>
        </is>
      </c>
      <c r="F18" s="12" t="inlineStr">
        <is>
          <t>Surface and centre</t>
        </is>
      </c>
      <c r="G18" s="12" t="inlineStr">
        <is>
          <t>≥ 100 particles each</t>
        </is>
      </c>
      <c r="H18" s="13" t="inlineStr">
        <is>
          <t>A</t>
        </is>
      </c>
      <c r="I18" s="12" t="inlineStr">
        <is>
          <t>Solidification</t>
        </is>
      </c>
      <c r="J18" s="12" t="inlineStr">
        <is>
          <t>β needles are the main risk at Mn:Fe ≈ 0.27 (die wear, base-corner damage)</t>
        </is>
      </c>
      <c r="K18" s="12" t="inlineStr">
        <is>
          <t>ch02 §3.8; R25</t>
        </is>
      </c>
      <c r="L18" s="12" t="inlineStr">
        <is>
          <t>Results</t>
        </is>
      </c>
      <c r="M18" s="12" t="inlineStr">
        <is>
          <t>open</t>
        </is>
      </c>
      <c r="N18" s="12" t="inlineStr"/>
    </row>
    <row r="19">
      <c r="A19" s="11" t="inlineStr">
        <is>
          <t>CS03</t>
        </is>
      </c>
      <c r="B19" s="12" t="inlineStr">
        <is>
          <t>Cast strip</t>
        </is>
      </c>
      <c r="C19" s="12" t="inlineStr">
        <is>
          <t>Share of constituent particles &gt; 3 µm (equivalent diameter)</t>
        </is>
      </c>
      <c r="D19" s="12" t="inlineStr">
        <is>
          <t>% of particles</t>
        </is>
      </c>
      <c r="E19" s="12" t="inlineStr">
        <is>
          <t>SEM or optical image analysis</t>
        </is>
      </c>
      <c r="F19" s="12" t="inlineStr">
        <is>
          <t>Surface and centre</t>
        </is>
      </c>
      <c r="G19" s="12" t="inlineStr">
        <is>
          <t>≥ 500 particles</t>
        </is>
      </c>
      <c r="H19" s="13" t="inlineStr">
        <is>
          <t>A</t>
        </is>
      </c>
      <c r="I19" s="12" t="inlineStr">
        <is>
          <t>RX / grain size</t>
        </is>
      </c>
      <c r="J19" s="12" t="inlineStr">
        <is>
          <t>Only particles ≳ 3–7 µm nucleate grains at this cold strain (PSN) → slug grain size</t>
        </is>
      </c>
      <c r="K19" s="12" t="inlineStr">
        <is>
          <t>R14; ch03 §3.2b</t>
        </is>
      </c>
      <c r="L19" s="12" t="inlineStr">
        <is>
          <t>Results</t>
        </is>
      </c>
      <c r="M19" s="12" t="inlineStr">
        <is>
          <t>open</t>
        </is>
      </c>
      <c r="N19" s="12" t="inlineStr"/>
    </row>
    <row r="20">
      <c r="A20" s="11" t="inlineStr">
        <is>
          <t>CS04</t>
        </is>
      </c>
      <c r="B20" s="12" t="inlineStr">
        <is>
          <t>Cast strip</t>
        </is>
      </c>
      <c r="C20" s="12" t="inlineStr">
        <is>
          <t>Constituent particle area fraction</t>
        </is>
      </c>
      <c r="D20" s="12" t="inlineStr">
        <is>
          <t>%</t>
        </is>
      </c>
      <c r="E20" s="12" t="inlineStr">
        <is>
          <t>Image analysis (same images as CS03)</t>
        </is>
      </c>
      <c r="F20" s="12" t="inlineStr">
        <is>
          <t>Surface and centre</t>
        </is>
      </c>
      <c r="G20" s="12" t="inlineStr">
        <is>
          <t>Same images</t>
        </is>
      </c>
      <c r="H20" s="13" t="inlineStr">
        <is>
          <t>B</t>
        </is>
      </c>
      <c r="I20" s="12" t="inlineStr">
        <is>
          <t>RX / grain size</t>
        </is>
      </c>
      <c r="J20" s="12" t="inlineStr">
        <is>
          <t>Zener pinning and PSN density</t>
        </is>
      </c>
      <c r="K20" s="12" t="inlineStr">
        <is>
          <t>R12</t>
        </is>
      </c>
      <c r="L20" s="12" t="inlineStr">
        <is>
          <t>Results</t>
        </is>
      </c>
      <c r="M20" s="12" t="inlineStr">
        <is>
          <t>open</t>
        </is>
      </c>
      <c r="N20" s="12" t="inlineStr"/>
    </row>
    <row r="21">
      <c r="A21" s="11" t="inlineStr">
        <is>
          <t>CS05</t>
        </is>
      </c>
      <c r="B21" s="12" t="inlineStr">
        <is>
          <t>Cast strip</t>
        </is>
      </c>
      <c r="C21" s="12" t="inlineStr">
        <is>
          <t>Electrical conductivity</t>
        </is>
      </c>
      <c r="D21" s="12" t="inlineStr">
        <is>
          <t>MS/m</t>
        </is>
      </c>
      <c r="E21" s="12" t="inlineStr">
        <is>
          <t>Eddy current at 20 °C (or compensated)</t>
        </is>
      </c>
      <c r="F21" s="12" t="inlineStr">
        <is>
          <t>Mid-cast</t>
        </is>
      </c>
      <c r="G21" s="12" t="inlineStr">
        <is>
          <t>5 readings</t>
        </is>
      </c>
      <c r="H21" s="13" t="inlineStr">
        <is>
          <t>A</t>
        </is>
      </c>
      <c r="I21" s="12" t="inlineStr">
        <is>
          <t>Solidification; Ageing</t>
        </is>
      </c>
      <c r="J21" s="12" t="inlineStr">
        <is>
          <t>Baseline of solute in solution (Mn, Fe, Si, Mg)</t>
        </is>
      </c>
      <c r="K21" s="12" t="inlineStr">
        <is>
          <t>ch13; ch19 P9</t>
        </is>
      </c>
      <c r="L21" s="12" t="inlineStr">
        <is>
          <t>Results</t>
        </is>
      </c>
      <c r="M21" s="12" t="inlineStr">
        <is>
          <t>open</t>
        </is>
      </c>
      <c r="N21" s="12" t="inlineStr"/>
    </row>
    <row r="22">
      <c r="A22" s="11" t="inlineStr">
        <is>
          <t>CS06</t>
        </is>
      </c>
      <c r="B22" s="12" t="inlineStr">
        <is>
          <t>Cast strip</t>
        </is>
      </c>
      <c r="C22" s="12" t="inlineStr">
        <is>
          <t>Macro-etch: centreline segregation, porosity, cracks</t>
        </is>
      </c>
      <c r="D22" s="12" t="inlineStr">
        <is>
          <t>grade 0–3 + photo</t>
        </is>
      </c>
      <c r="E22" s="12" t="inlineStr">
        <is>
          <t>Macro etch of the cross section</t>
        </is>
      </c>
      <c r="F22" s="12" t="inlineStr">
        <is>
          <t>Cast start, middle, end</t>
        </is>
      </c>
      <c r="G22" s="12" t="inlineStr">
        <is>
          <t>3</t>
        </is>
      </c>
      <c r="H22" s="13" t="inlineStr">
        <is>
          <t>A</t>
        </is>
      </c>
      <c r="I22" s="12" t="inlineStr">
        <is>
          <t>Castability</t>
        </is>
      </c>
      <c r="J22" s="12" t="inlineStr">
        <is>
          <t>Hot-tearing and segregation risk from Mg + Si</t>
        </is>
      </c>
      <c r="K22" s="12" t="inlineStr">
        <is>
          <t>ch01 §11; ch15</t>
        </is>
      </c>
      <c r="L22" s="12" t="inlineStr">
        <is>
          <t>Results</t>
        </is>
      </c>
      <c r="M22" s="12" t="inlineStr">
        <is>
          <t>open</t>
        </is>
      </c>
      <c r="N22" s="12" t="inlineStr"/>
    </row>
    <row r="23">
      <c r="A23" s="11" t="inlineStr">
        <is>
          <t>CS07</t>
        </is>
      </c>
      <c r="B23" s="12" t="inlineStr">
        <is>
          <t>Cast strip</t>
        </is>
      </c>
      <c r="C23" s="12" t="inlineStr">
        <is>
          <t>Cast grain size</t>
        </is>
      </c>
      <c r="D23" s="12" t="inlineStr">
        <is>
          <t>µm</t>
        </is>
      </c>
      <c r="E23" s="12" t="inlineStr">
        <is>
          <t>Barker anodising + polarised light</t>
        </is>
      </c>
      <c r="F23" s="12" t="inlineStr">
        <is>
          <t>Surface and centre</t>
        </is>
      </c>
      <c r="G23" s="12" t="inlineStr">
        <is>
          <t>1 section</t>
        </is>
      </c>
      <c r="H23" s="13" t="inlineStr">
        <is>
          <t>B</t>
        </is>
      </c>
      <c r="I23" s="12" t="inlineStr">
        <is>
          <t>Solidification</t>
        </is>
      </c>
      <c r="J23" s="12" t="inlineStr">
        <is>
          <t>Grain-refiner response</t>
        </is>
      </c>
      <c r="K23" s="12" t="inlineStr">
        <is>
          <t>ch01</t>
        </is>
      </c>
      <c r="L23" s="12" t="inlineStr">
        <is>
          <t>Results</t>
        </is>
      </c>
      <c r="M23" s="12" t="inlineStr">
        <is>
          <t>open</t>
        </is>
      </c>
      <c r="N23" s="12" t="inlineStr"/>
    </row>
    <row r="24">
      <c r="A24" s="8" t="inlineStr">
        <is>
          <t>HB01</t>
        </is>
      </c>
      <c r="B24" s="9" t="inlineStr">
        <is>
          <t>Hot band</t>
        </is>
      </c>
      <c r="C24" s="9" t="inlineStr">
        <is>
          <t>Conductivity after the bath</t>
        </is>
      </c>
      <c r="D24" s="9" t="inlineStr">
        <is>
          <t>MS/m</t>
        </is>
      </c>
      <c r="E24" s="9" t="inlineStr">
        <is>
          <t>Eddy current</t>
        </is>
      </c>
      <c r="F24" s="9" t="inlineStr">
        <is>
          <t>Per coil</t>
        </is>
      </c>
      <c r="G24" s="9" t="inlineStr">
        <is>
          <t>5 readings</t>
        </is>
      </c>
      <c r="H24" s="10" t="inlineStr">
        <is>
          <t>A</t>
        </is>
      </c>
      <c r="I24" s="9" t="inlineStr">
        <is>
          <t>Ageing; RX / grain size</t>
        </is>
      </c>
      <c r="J24" s="9" t="inlineStr">
        <is>
          <t>Solute retained by the quench</t>
        </is>
      </c>
      <c r="K24" s="9" t="inlineStr">
        <is>
          <t>ch19 §1.3</t>
        </is>
      </c>
      <c r="L24" s="9" t="inlineStr">
        <is>
          <t>Results</t>
        </is>
      </c>
      <c r="M24" s="9" t="inlineStr">
        <is>
          <t>open</t>
        </is>
      </c>
      <c r="N24" s="9" t="inlineStr"/>
    </row>
    <row r="25">
      <c r="A25" s="8" t="inlineStr">
        <is>
          <t>HB02</t>
        </is>
      </c>
      <c r="B25" s="9" t="inlineStr">
        <is>
          <t>Hot band</t>
        </is>
      </c>
      <c r="C25" s="9" t="inlineStr">
        <is>
          <t>Hardness vs storage time: 0, 1, 3, 7 days and at cold rolling</t>
        </is>
      </c>
      <c r="D25" s="9" t="inlineStr">
        <is>
          <t>HB</t>
        </is>
      </c>
      <c r="E25" s="9" t="inlineStr">
        <is>
          <t>Brinell, same ball and load throughout</t>
        </is>
      </c>
      <c r="F25" s="9" t="inlineStr">
        <is>
          <t>Per coil; enter Age (h)</t>
        </is>
      </c>
      <c r="G25" s="9" t="inlineStr">
        <is>
          <t>3 indents</t>
        </is>
      </c>
      <c r="H25" s="10" t="inlineStr">
        <is>
          <t>B</t>
        </is>
      </c>
      <c r="I25" s="9" t="inlineStr">
        <is>
          <t>Ageing</t>
        </is>
      </c>
      <c r="J25" s="9" t="inlineStr">
        <is>
          <t>Natural ageing of the quenched band before cold rolling</t>
        </is>
      </c>
      <c r="K25" s="9" t="inlineStr">
        <is>
          <t>ch04 §6; T11 §2.4</t>
        </is>
      </c>
      <c r="L25" s="9" t="inlineStr">
        <is>
          <t>Results</t>
        </is>
      </c>
      <c r="M25" s="9" t="inlineStr">
        <is>
          <t>open</t>
        </is>
      </c>
      <c r="N25" s="9" t="inlineStr"/>
    </row>
    <row r="26">
      <c r="A26" s="8" t="inlineStr">
        <is>
          <t>HB03</t>
        </is>
      </c>
      <c r="B26" s="9" t="inlineStr">
        <is>
          <t>Hot band</t>
        </is>
      </c>
      <c r="C26" s="9" t="inlineStr">
        <is>
          <t>Structure: recrystallised or recovered; grain size</t>
        </is>
      </c>
      <c r="D26" s="9" t="inlineStr">
        <is>
          <t>µm</t>
        </is>
      </c>
      <c r="E26" s="9" t="inlineStr">
        <is>
          <t>Barker + polarised light (EBSD optional)</t>
        </is>
      </c>
      <c r="F26" s="9" t="inlineStr">
        <is>
          <t>Full thickness</t>
        </is>
      </c>
      <c r="G26" s="9" t="inlineStr">
        <is>
          <t>1 section</t>
        </is>
      </c>
      <c r="H26" s="10" t="inlineStr">
        <is>
          <t>B</t>
        </is>
      </c>
      <c r="I26" s="9" t="inlineStr">
        <is>
          <t>RX / grain size</t>
        </is>
      </c>
      <c r="J26" s="9" t="inlineStr">
        <is>
          <t>Starting structure for cold rolling</t>
        </is>
      </c>
      <c r="K26" s="9" t="inlineStr">
        <is>
          <t>ch19 §1.3</t>
        </is>
      </c>
      <c r="L26" s="9" t="inlineStr">
        <is>
          <t>Results</t>
        </is>
      </c>
      <c r="M26" s="9" t="inlineStr">
        <is>
          <t>open</t>
        </is>
      </c>
      <c r="N26" s="9" t="inlineStr"/>
    </row>
    <row r="27">
      <c r="A27" s="11" t="inlineStr">
        <is>
          <t>CR01</t>
        </is>
      </c>
      <c r="B27" s="12" t="inlineStr">
        <is>
          <t>Cold rolled</t>
        </is>
      </c>
      <c r="C27" s="12" t="inlineStr">
        <is>
          <t>Hardness as rolled</t>
        </is>
      </c>
      <c r="D27" s="12" t="inlineStr">
        <is>
          <t>HB</t>
        </is>
      </c>
      <c r="E27" s="12" t="inlineStr">
        <is>
          <t>Brinell</t>
        </is>
      </c>
      <c r="F27" s="12" t="inlineStr">
        <is>
          <t>Per coil</t>
        </is>
      </c>
      <c r="G27" s="12" t="inlineStr">
        <is>
          <t>3 indents</t>
        </is>
      </c>
      <c r="H27" s="13" t="inlineStr">
        <is>
          <t>A</t>
        </is>
      </c>
      <c r="I27" s="12" t="inlineStr">
        <is>
          <t>Press force; RX / grain size</t>
        </is>
      </c>
      <c r="J27" s="12" t="inlineStr">
        <is>
          <t>Work-hardening point; proxy for stored energy</t>
        </is>
      </c>
      <c r="K27" s="12" t="inlineStr">
        <is>
          <t>ch10 §3.4</t>
        </is>
      </c>
      <c r="L27" s="12" t="inlineStr">
        <is>
          <t>Results</t>
        </is>
      </c>
      <c r="M27" s="12" t="inlineStr">
        <is>
          <t>open</t>
        </is>
      </c>
      <c r="N27" s="12" t="inlineStr"/>
    </row>
    <row r="28">
      <c r="A28" s="11" t="inlineStr">
        <is>
          <t>CR02</t>
        </is>
      </c>
      <c r="B28" s="12" t="inlineStr">
        <is>
          <t>Cold rolled</t>
        </is>
      </c>
      <c r="C28" s="12" t="inlineStr">
        <is>
          <t>Conductivity as rolled</t>
        </is>
      </c>
      <c r="D28" s="12" t="inlineStr">
        <is>
          <t>MS/m</t>
        </is>
      </c>
      <c r="E28" s="12" t="inlineStr">
        <is>
          <t>Eddy current</t>
        </is>
      </c>
      <c r="F28" s="12" t="inlineStr">
        <is>
          <t>Per coil</t>
        </is>
      </c>
      <c r="G28" s="12" t="inlineStr">
        <is>
          <t>5 readings</t>
        </is>
      </c>
      <c r="H28" s="13" t="inlineStr">
        <is>
          <t>A</t>
        </is>
      </c>
      <c r="I28" s="12" t="inlineStr">
        <is>
          <t>RX / grain size</t>
        </is>
      </c>
      <c r="J28" s="12" t="inlineStr">
        <is>
          <t>Solute state just before the anneal</t>
        </is>
      </c>
      <c r="K28" s="12" t="inlineStr">
        <is>
          <t>ch19 P9</t>
        </is>
      </c>
      <c r="L28" s="12" t="inlineStr">
        <is>
          <t>Results</t>
        </is>
      </c>
      <c r="M28" s="12" t="inlineStr">
        <is>
          <t>open</t>
        </is>
      </c>
      <c r="N28" s="12" t="inlineStr"/>
    </row>
    <row r="29">
      <c r="A29" s="11" t="inlineStr">
        <is>
          <t>CR03</t>
        </is>
      </c>
      <c r="B29" s="12" t="inlineStr">
        <is>
          <t>Cold rolled</t>
        </is>
      </c>
      <c r="C29" s="12" t="inlineStr">
        <is>
          <t>Tensile Rp0.2, longitudinal</t>
        </is>
      </c>
      <c r="D29" s="12" t="inlineStr">
        <is>
          <t>MPa</t>
        </is>
      </c>
      <c r="E29" s="12" t="inlineStr">
        <is>
          <t>Tensile test</t>
        </is>
      </c>
      <c r="F29" s="12" t="inlineStr">
        <is>
          <t>Per coil</t>
        </is>
      </c>
      <c r="G29" s="12" t="inlineStr">
        <is>
          <t>3</t>
        </is>
      </c>
      <c r="H29" s="13" t="inlineStr">
        <is>
          <t>B</t>
        </is>
      </c>
      <c r="I29" s="12" t="inlineStr">
        <is>
          <t>Can strength</t>
        </is>
      </c>
      <c r="J29" s="12" t="inlineStr">
        <is>
          <t>Work-hardening curve vs Ryen data</t>
        </is>
      </c>
      <c r="K29" s="12" t="inlineStr">
        <is>
          <t>ch10 §3.4</t>
        </is>
      </c>
      <c r="L29" s="12" t="inlineStr">
        <is>
          <t>Results</t>
        </is>
      </c>
      <c r="M29" s="12" t="inlineStr">
        <is>
          <t>open</t>
        </is>
      </c>
      <c r="N29" s="12" t="inlineStr"/>
    </row>
    <row r="30">
      <c r="A30" s="11" t="inlineStr">
        <is>
          <t>CR04</t>
        </is>
      </c>
      <c r="B30" s="12" t="inlineStr">
        <is>
          <t>Cold rolled</t>
        </is>
      </c>
      <c r="C30" s="12" t="inlineStr">
        <is>
          <t>Tensile Rm, longitudinal</t>
        </is>
      </c>
      <c r="D30" s="12" t="inlineStr">
        <is>
          <t>MPa</t>
        </is>
      </c>
      <c r="E30" s="12" t="inlineStr">
        <is>
          <t>Tensile test</t>
        </is>
      </c>
      <c r="F30" s="12" t="inlineStr">
        <is>
          <t>Per coil</t>
        </is>
      </c>
      <c r="G30" s="12" t="inlineStr">
        <is>
          <t>3</t>
        </is>
      </c>
      <c r="H30" s="13" t="inlineStr">
        <is>
          <t>B</t>
        </is>
      </c>
      <c r="I30" s="12" t="inlineStr">
        <is>
          <t>Can strength</t>
        </is>
      </c>
      <c r="J30" s="12" t="inlineStr">
        <is>
          <t>Work-hardening curve vs Ryen data</t>
        </is>
      </c>
      <c r="K30" s="12" t="inlineStr">
        <is>
          <t>ch10 §3.4</t>
        </is>
      </c>
      <c r="L30" s="12" t="inlineStr">
        <is>
          <t>Results</t>
        </is>
      </c>
      <c r="M30" s="12" t="inlineStr">
        <is>
          <t>open</t>
        </is>
      </c>
      <c r="N30" s="12" t="inlineStr"/>
    </row>
    <row r="31">
      <c r="A31" s="8" t="inlineStr">
        <is>
          <t>LA01</t>
        </is>
      </c>
      <c r="B31" s="9" t="inlineStr">
        <is>
          <t>Lab anneal</t>
        </is>
      </c>
      <c r="C31" s="9" t="inlineStr">
        <is>
          <t>Lab anneal series on as-rolled slugs: 250–550 °C in 50 °C steps, 1 h; repeat two temperatures with fast heating</t>
        </is>
      </c>
      <c r="D31" s="9" t="inlineStr">
        <is>
          <t>–</t>
        </is>
      </c>
      <c r="E31" s="9" t="inlineStr">
        <is>
          <t>Lab furnace; salt bath or pre-heated furnace for fast heating</t>
        </is>
      </c>
      <c r="F31" s="9" t="inlineStr">
        <is>
          <t>Enter results as SL01, SL04, SL05 with Variant = e.g. "lab 400 °C 1 h"</t>
        </is>
      </c>
      <c r="G31" s="9" t="inlineStr">
        <is>
          <t>7 temperatures × 2 slugs</t>
        </is>
      </c>
      <c r="H31" s="10" t="inlineStr">
        <is>
          <t>A</t>
        </is>
      </c>
      <c r="I31" s="9" t="inlineStr">
        <is>
          <t>RX / grain size</t>
        </is>
      </c>
      <c r="J31" s="9" t="inlineStr">
        <is>
          <t>The softening curve is the main calibration of the RX model and finds the lowest safe anneal temperature (less MgO)</t>
        </is>
      </c>
      <c r="K31" s="9" t="inlineStr">
        <is>
          <t>ch03; ch19 P3/P4</t>
        </is>
      </c>
      <c r="L31" s="9" t="inlineStr">
        <is>
          <t>Results</t>
        </is>
      </c>
      <c r="M31" s="9" t="inlineStr">
        <is>
          <t>open</t>
        </is>
      </c>
      <c r="N31" s="9" t="inlineStr"/>
    </row>
    <row r="32">
      <c r="A32" s="11" t="inlineStr">
        <is>
          <t>SL01</t>
        </is>
      </c>
      <c r="B32" s="12" t="inlineStr">
        <is>
          <t>Annealed slug</t>
        </is>
      </c>
      <c r="C32" s="12" t="inlineStr">
        <is>
          <t>Hardness</t>
        </is>
      </c>
      <c r="D32" s="12" t="inlineStr">
        <is>
          <t>HB</t>
        </is>
      </c>
      <c r="E32" s="12" t="inlineStr">
        <is>
          <t>Brinell, same ball and load always</t>
        </is>
      </c>
      <c r="F32" s="12" t="inlineStr">
        <is>
          <t>2–6 h, 1, 3, 7, 30 days after the anneal; enter Age (h)</t>
        </is>
      </c>
      <c r="G32" s="12" t="inlineStr">
        <is>
          <t>5 slugs × 3 indents</t>
        </is>
      </c>
      <c r="H32" s="13" t="inlineStr">
        <is>
          <t>A</t>
        </is>
      </c>
      <c r="I32" s="12" t="inlineStr">
        <is>
          <t>Ageing; Press force</t>
        </is>
      </c>
      <c r="J32" s="12" t="inlineStr">
        <is>
          <t>Natural-ageing drift → press-force drift (Mg + Si in solution)</t>
        </is>
      </c>
      <c r="K32" s="12" t="inlineStr">
        <is>
          <t>ch04 §6.5; R21, R22</t>
        </is>
      </c>
      <c r="L32" s="12" t="inlineStr">
        <is>
          <t>Results</t>
        </is>
      </c>
      <c r="M32" s="12" t="inlineStr">
        <is>
          <t>open</t>
        </is>
      </c>
      <c r="N32" s="12" t="inlineStr"/>
    </row>
    <row r="33">
      <c r="A33" s="11" t="inlineStr">
        <is>
          <t>SL02</t>
        </is>
      </c>
      <c r="B33" s="12" t="inlineStr">
        <is>
          <t>Annealed slug</t>
        </is>
      </c>
      <c r="C33" s="12" t="inlineStr">
        <is>
          <t>Mean grain size</t>
        </is>
      </c>
      <c r="D33" s="12" t="inlineStr">
        <is>
          <t>µm</t>
        </is>
      </c>
      <c r="E33" s="12" t="inlineStr">
        <is>
          <t>Barker + polarised light, linear intercept</t>
        </is>
      </c>
      <c r="F33" s="12" t="inlineStr">
        <is>
          <t>Surface and centre of a slug section</t>
        </is>
      </c>
      <c r="G33" s="12" t="inlineStr">
        <is>
          <t>3 slugs</t>
        </is>
      </c>
      <c r="H33" s="13" t="inlineStr">
        <is>
          <t>A</t>
        </is>
      </c>
      <c r="I33" s="12" t="inlineStr">
        <is>
          <t>RX / grain size</t>
        </is>
      </c>
      <c r="J33" s="12" t="inlineStr">
        <is>
          <t>Target 20–100 µm; main output of the RX / PSN model</t>
        </is>
      </c>
      <c r="K33" s="12" t="inlineStr">
        <is>
          <t>R14; ch03</t>
        </is>
      </c>
      <c r="L33" s="12" t="inlineStr">
        <is>
          <t>Results</t>
        </is>
      </c>
      <c r="M33" s="12" t="inlineStr">
        <is>
          <t>open</t>
        </is>
      </c>
      <c r="N33" s="12" t="inlineStr"/>
    </row>
    <row r="34">
      <c r="A34" s="11" t="inlineStr">
        <is>
          <t>SL03</t>
        </is>
      </c>
      <c r="B34" s="12" t="inlineStr">
        <is>
          <t>Annealed slug</t>
        </is>
      </c>
      <c r="C34" s="12" t="inlineStr">
        <is>
          <t>Grain-size scatter: largest grain or standard deviation</t>
        </is>
      </c>
      <c r="D34" s="12" t="inlineStr">
        <is>
          <t>µm</t>
        </is>
      </c>
      <c r="E34" s="12" t="inlineStr">
        <is>
          <t>Same images as SL02</t>
        </is>
      </c>
      <c r="F34" s="12" t="inlineStr">
        <is>
          <t>Surface and centre</t>
        </is>
      </c>
      <c r="G34" s="12" t="inlineStr">
        <is>
          <t>3 slugs</t>
        </is>
      </c>
      <c r="H34" s="13" t="inlineStr">
        <is>
          <t>B</t>
        </is>
      </c>
      <c r="I34" s="12" t="inlineStr">
        <is>
          <t>RX / grain size</t>
        </is>
      </c>
      <c r="J34" s="12" t="inlineStr">
        <is>
          <t>Coarse or mixed grains → orange peel and tearing</t>
        </is>
      </c>
      <c r="K34" s="12" t="inlineStr">
        <is>
          <t>ch10</t>
        </is>
      </c>
      <c r="L34" s="12" t="inlineStr">
        <is>
          <t>Results</t>
        </is>
      </c>
      <c r="M34" s="12" t="inlineStr">
        <is>
          <t>open</t>
        </is>
      </c>
      <c r="N34" s="12" t="inlineStr"/>
    </row>
    <row r="35">
      <c r="A35" s="11" t="inlineStr">
        <is>
          <t>SL04</t>
        </is>
      </c>
      <c r="B35" s="12" t="inlineStr">
        <is>
          <t>Annealed slug</t>
        </is>
      </c>
      <c r="C35" s="12" t="inlineStr">
        <is>
          <t>Recrystallised fraction</t>
        </is>
      </c>
      <c r="D35" s="12" t="inlineStr">
        <is>
          <t>%</t>
        </is>
      </c>
      <c r="E35" s="12" t="inlineStr">
        <is>
          <t>Same images as SL02</t>
        </is>
      </c>
      <c r="F35" s="12" t="inlineStr">
        <is>
          <t>Surface and centre</t>
        </is>
      </c>
      <c r="G35" s="12" t="inlineStr">
        <is>
          <t>3 slugs</t>
        </is>
      </c>
      <c r="H35" s="13" t="inlineStr">
        <is>
          <t>A</t>
        </is>
      </c>
      <c r="I35" s="12" t="inlineStr">
        <is>
          <t>RX / grain size</t>
        </is>
      </c>
      <c r="J35" s="12" t="inlineStr">
        <is>
          <t>Should be 100 %; below that the anneal is too low or too short</t>
        </is>
      </c>
      <c r="K35" s="12" t="inlineStr">
        <is>
          <t>R22; ch03</t>
        </is>
      </c>
      <c r="L35" s="12" t="inlineStr">
        <is>
          <t>Results</t>
        </is>
      </c>
      <c r="M35" s="12" t="inlineStr">
        <is>
          <t>open</t>
        </is>
      </c>
      <c r="N35" s="12" t="inlineStr"/>
    </row>
    <row r="36">
      <c r="A36" s="11" t="inlineStr">
        <is>
          <t>SL05</t>
        </is>
      </c>
      <c r="B36" s="12" t="inlineStr">
        <is>
          <t>Annealed slug</t>
        </is>
      </c>
      <c r="C36" s="12" t="inlineStr">
        <is>
          <t>Conductivity</t>
        </is>
      </c>
      <c r="D36" s="12" t="inlineStr">
        <is>
          <t>MS/m</t>
        </is>
      </c>
      <c r="E36" s="12" t="inlineStr">
        <is>
          <t>Eddy current</t>
        </is>
      </c>
      <c r="F36" s="12" t="inlineStr">
        <is>
          <t>Per lot</t>
        </is>
      </c>
      <c r="G36" s="12" t="inlineStr">
        <is>
          <t>5 slugs</t>
        </is>
      </c>
      <c r="H36" s="13" t="inlineStr">
        <is>
          <t>A</t>
        </is>
      </c>
      <c r="I36" s="12" t="inlineStr">
        <is>
          <t>Ageing; RX / grain size</t>
        </is>
      </c>
      <c r="J36" s="12" t="inlineStr">
        <is>
          <t>Tracks Mg, Si and Mn going into or out of solution in the anneal</t>
        </is>
      </c>
      <c r="K36" s="12" t="inlineStr">
        <is>
          <t>ch19 P9</t>
        </is>
      </c>
      <c r="L36" s="12" t="inlineStr">
        <is>
          <t>Results</t>
        </is>
      </c>
      <c r="M36" s="12" t="inlineStr">
        <is>
          <t>open</t>
        </is>
      </c>
      <c r="N36" s="12" t="inlineStr"/>
    </row>
    <row r="37">
      <c r="A37" s="11" t="inlineStr">
        <is>
          <t>SL06</t>
        </is>
      </c>
      <c r="B37" s="12" t="inlineStr">
        <is>
          <t>Annealed slug</t>
        </is>
      </c>
      <c r="C37" s="12" t="inlineStr">
        <is>
          <t>Surface oxide: colour / wipe grade; thickness on a subset</t>
        </is>
      </c>
      <c r="D37" s="12" t="inlineStr">
        <is>
          <t>grade 0–3; nm</t>
        </is>
      </c>
      <c r="E37" s="12" t="inlineStr">
        <is>
          <t>Visual + wipe test; GDOES or XPS on a subset</t>
        </is>
      </c>
      <c r="F37" s="12" t="inlineStr">
        <is>
          <t>Air vs N₂ lots</t>
        </is>
      </c>
      <c r="G37" s="12" t="inlineStr">
        <is>
          <t>5 + 1</t>
        </is>
      </c>
      <c r="H37" s="13" t="inlineStr">
        <is>
          <t>B</t>
        </is>
      </c>
      <c r="I37" s="12" t="inlineStr">
        <is>
          <t>Surface (MgO)</t>
        </is>
      </c>
      <c r="J37" s="12" t="inlineStr">
        <is>
          <t>Mg 0.26 is about 2× the in-house alloys; decides air vs N₂</t>
        </is>
      </c>
      <c r="K37" s="12" t="inlineStr">
        <is>
          <t>R18; ch14</t>
        </is>
      </c>
      <c r="L37" s="12" t="inlineStr">
        <is>
          <t>Results</t>
        </is>
      </c>
      <c r="M37" s="12" t="inlineStr">
        <is>
          <t>open</t>
        </is>
      </c>
      <c r="N37" s="12" t="inlineStr"/>
    </row>
    <row r="38">
      <c r="A38" s="11" t="inlineStr">
        <is>
          <t>SL07</t>
        </is>
      </c>
      <c r="B38" s="12" t="inlineStr">
        <is>
          <t>Annealed slug</t>
        </is>
      </c>
      <c r="C38" s="12" t="inlineStr">
        <is>
          <t>Compression flow stress at true strain 1.0</t>
        </is>
      </c>
      <c r="D38" s="12" t="inlineStr">
        <is>
          <t>MPa</t>
        </is>
      </c>
      <c r="E38" s="12" t="inlineStr">
        <is>
          <t>Lubricated upsetting test</t>
        </is>
      </c>
      <c r="F38" s="12" t="inlineStr">
        <is>
          <t>Per lot</t>
        </is>
      </c>
      <c r="G38" s="12" t="inlineStr">
        <is>
          <t>3</t>
        </is>
      </c>
      <c r="H38" s="13" t="inlineStr">
        <is>
          <t>B</t>
        </is>
      </c>
      <c r="I38" s="12" t="inlineStr">
        <is>
          <t>Press force</t>
        </is>
      </c>
      <c r="J38" s="12" t="inlineStr">
        <is>
          <t>Large-strain flow stress predicts press force better than HB</t>
        </is>
      </c>
      <c r="K38" s="12" t="inlineStr">
        <is>
          <t>R21; ch10</t>
        </is>
      </c>
      <c r="L38" s="12" t="inlineStr">
        <is>
          <t>Results</t>
        </is>
      </c>
      <c r="M38" s="12" t="inlineStr">
        <is>
          <t>open</t>
        </is>
      </c>
      <c r="N38" s="12" t="inlineStr"/>
    </row>
    <row r="39">
      <c r="A39" s="11" t="inlineStr">
        <is>
          <t>SL08</t>
        </is>
      </c>
      <c r="B39" s="12" t="inlineStr">
        <is>
          <t>Annealed slug</t>
        </is>
      </c>
      <c r="C39" s="12" t="inlineStr">
        <is>
          <t>Wall simulation: roll slug material to ε ≥ 2, then 220 °C / 10 min; HV before, 1 and 30 days after</t>
        </is>
      </c>
      <c r="D39" s="12" t="inlineStr">
        <is>
          <t>HV</t>
        </is>
      </c>
      <c r="E39" s="12" t="inlineStr">
        <is>
          <t>Lab rolling + oven</t>
        </is>
      </c>
      <c r="F39" s="12" t="inlineStr">
        <is>
          <t>Per lot; Variant = unbaked / baked; enter Age (h)</t>
        </is>
      </c>
      <c r="G39" s="12" t="inlineStr">
        <is>
          <t>3 × 3</t>
        </is>
      </c>
      <c r="H39" s="13" t="inlineStr">
        <is>
          <t>B</t>
        </is>
      </c>
      <c r="I39" s="12" t="inlineStr">
        <is>
          <t>Can strength</t>
        </is>
      </c>
      <c r="J39" s="12" t="inlineStr">
        <is>
          <t>Bake response (strain ageing) without running the press</t>
        </is>
      </c>
      <c r="K39" s="12" t="inlineStr">
        <is>
          <t>ch19 P6; T11 §3</t>
        </is>
      </c>
      <c r="L39" s="12" t="inlineStr">
        <is>
          <t>Results</t>
        </is>
      </c>
      <c r="M39" s="12" t="inlineStr">
        <is>
          <t>open</t>
        </is>
      </c>
      <c r="N39" s="12" t="inlineStr"/>
    </row>
    <row r="40">
      <c r="A40" s="8" t="inlineStr">
        <is>
          <t>EX01</t>
        </is>
      </c>
      <c r="B40" s="9" t="inlineStr">
        <is>
          <t>Extrusion</t>
        </is>
      </c>
      <c r="C40" s="9" t="inlineStr">
        <is>
          <t>Maximum press force (mean of ≥ 100 strokes), with slug age</t>
        </is>
      </c>
      <c r="D40" s="9" t="inlineStr">
        <is>
          <t>t</t>
        </is>
      </c>
      <c r="E40" s="9" t="inlineStr">
        <is>
          <t>Press load monitor</t>
        </is>
      </c>
      <c r="F40" s="9" t="inlineStr">
        <is>
          <t>Per lot; enter slug Age (h)</t>
        </is>
      </c>
      <c r="G40" s="9" t="inlineStr">
        <is>
          <t>≥ 100 strokes</t>
        </is>
      </c>
      <c r="H40" s="10" t="inlineStr">
        <is>
          <t>A</t>
        </is>
      </c>
      <c r="I40" s="9" t="inlineStr">
        <is>
          <t>Press force</t>
        </is>
      </c>
      <c r="J40" s="9" t="inlineStr">
        <is>
          <t>Calibrates force vs HB and flow stress (35 HB ≈ 391 t estimate for a flat Ø53 punch)</t>
        </is>
      </c>
      <c r="K40" s="9" t="inlineStr">
        <is>
          <t>R21</t>
        </is>
      </c>
      <c r="L40" s="9" t="inlineStr">
        <is>
          <t>Results</t>
        </is>
      </c>
      <c r="M40" s="9" t="inlineStr">
        <is>
          <t>open</t>
        </is>
      </c>
      <c r="N40" s="9" t="inlineStr"/>
    </row>
    <row r="41">
      <c r="A41" s="8" t="inlineStr">
        <is>
          <t>EX02</t>
        </is>
      </c>
      <c r="B41" s="9" t="inlineStr">
        <is>
          <t>Extrusion</t>
        </is>
      </c>
      <c r="C41" s="9" t="inlineStr">
        <is>
          <t>Wall thickness at mid-height</t>
        </is>
      </c>
      <c r="D41" s="9" t="inlineStr">
        <is>
          <t>mm</t>
        </is>
      </c>
      <c r="E41" s="9" t="inlineStr">
        <is>
          <t>Micrometer</t>
        </is>
      </c>
      <c r="F41" s="9" t="inlineStr">
        <is>
          <t>Per lot</t>
        </is>
      </c>
      <c r="G41" s="9" t="inlineStr">
        <is>
          <t>10 cans</t>
        </is>
      </c>
      <c r="H41" s="10" t="inlineStr">
        <is>
          <t>A</t>
        </is>
      </c>
      <c r="I41" s="9" t="inlineStr">
        <is>
          <t>Can strength</t>
        </is>
      </c>
      <c r="J41" s="9" t="inlineStr">
        <is>
          <t>Sets the wall strain for the strength model</t>
        </is>
      </c>
      <c r="K41" s="9" t="inlineStr">
        <is>
          <t>ch10</t>
        </is>
      </c>
      <c r="L41" s="9" t="inlineStr">
        <is>
          <t>Results</t>
        </is>
      </c>
      <c r="M41" s="9" t="inlineStr">
        <is>
          <t>open</t>
        </is>
      </c>
      <c r="N41" s="9" t="inlineStr"/>
    </row>
    <row r="42">
      <c r="A42" s="8" t="inlineStr">
        <is>
          <t>EX03</t>
        </is>
      </c>
      <c r="B42" s="9" t="inlineStr">
        <is>
          <t>Extrusion</t>
        </is>
      </c>
      <c r="C42" s="9" t="inlineStr">
        <is>
          <t>Reject rate: tears, splits, base-corner cracks, orange peel</t>
        </is>
      </c>
      <c r="D42" s="9" t="inlineStr">
        <is>
          <t>%</t>
        </is>
      </c>
      <c r="E42" s="9" t="inlineStr">
        <is>
          <t>Inspection</t>
        </is>
      </c>
      <c r="F42" s="9" t="inlineStr">
        <is>
          <t>Per lot</t>
        </is>
      </c>
      <c r="G42" s="9" t="inlineStr">
        <is>
          <t>Whole lot</t>
        </is>
      </c>
      <c r="H42" s="10" t="inlineStr">
        <is>
          <t>A</t>
        </is>
      </c>
      <c r="I42" s="9" t="inlineStr">
        <is>
          <t>Press force; Castability</t>
        </is>
      </c>
      <c r="J42" s="9" t="inlineStr">
        <is>
          <t>Extrudability (design goal 2)</t>
        </is>
      </c>
      <c r="K42" s="9" t="inlineStr">
        <is>
          <t>ch10 §5</t>
        </is>
      </c>
      <c r="L42" s="9" t="inlineStr">
        <is>
          <t>Results</t>
        </is>
      </c>
      <c r="M42" s="9" t="inlineStr">
        <is>
          <t>open</t>
        </is>
      </c>
      <c r="N42" s="9" t="inlineStr"/>
    </row>
    <row r="43">
      <c r="A43" s="8" t="inlineStr">
        <is>
          <t>EX04</t>
        </is>
      </c>
      <c r="B43" s="9" t="inlineStr">
        <is>
          <t>Extrusion</t>
        </is>
      </c>
      <c r="C43" s="9" t="inlineStr">
        <is>
          <t>Base-corner section after extrusion and after necking</t>
        </is>
      </c>
      <c r="D43" s="9" t="inlineStr">
        <is>
          <t>finding + photo</t>
        </is>
      </c>
      <c r="E43" s="9" t="inlineStr">
        <is>
          <t>Metallography</t>
        </is>
      </c>
      <c r="F43" s="9" t="inlineStr">
        <is>
          <t>Per lot</t>
        </is>
      </c>
      <c r="G43" s="9" t="inlineStr">
        <is>
          <t>3 cans</t>
        </is>
      </c>
      <c r="H43" s="10" t="inlineStr">
        <is>
          <t>B</t>
        </is>
      </c>
      <c r="I43" s="9" t="inlineStr">
        <is>
          <t>Solidification</t>
        </is>
      </c>
      <c r="J43" s="9" t="inlineStr">
        <is>
          <t>Hidden damage from coarse Fe particles</t>
        </is>
      </c>
      <c r="K43" s="9" t="inlineStr">
        <is>
          <t>R23; ch10 §5</t>
        </is>
      </c>
      <c r="L43" s="9" t="inlineStr">
        <is>
          <t>Results</t>
        </is>
      </c>
      <c r="M43" s="9" t="inlineStr">
        <is>
          <t>open</t>
        </is>
      </c>
      <c r="N43" s="9" t="inlineStr"/>
    </row>
    <row r="44">
      <c r="A44" s="11" t="inlineStr">
        <is>
          <t>K01</t>
        </is>
      </c>
      <c r="B44" s="12" t="inlineStr">
        <is>
          <t>Can</t>
        </is>
      </c>
      <c r="C44" s="12" t="inlineStr">
        <is>
          <t>Wall Rp0.2, longitudinal (Variant = unbaked / baked)</t>
        </is>
      </c>
      <c r="D44" s="12" t="inlineStr">
        <is>
          <t>MPa</t>
        </is>
      </c>
      <c r="E44" s="12" t="inlineStr">
        <is>
          <t>Tensile test</t>
        </is>
      </c>
      <c r="F44" s="12" t="inlineStr">
        <is>
          <t>Before and 1 day after 220 °C / 10 min</t>
        </is>
      </c>
      <c r="G44" s="12" t="inlineStr">
        <is>
          <t>3 cans each</t>
        </is>
      </c>
      <c r="H44" s="13" t="inlineStr">
        <is>
          <t>A</t>
        </is>
      </c>
      <c r="I44" s="12" t="inlineStr">
        <is>
          <t>Can strength</t>
        </is>
      </c>
      <c r="J44" s="12" t="inlineStr">
        <is>
          <t>The strength target; compare with Ryen (1050 vs 3103 can walls)</t>
        </is>
      </c>
      <c r="K44" s="12" t="inlineStr">
        <is>
          <t>ch10 §3.4</t>
        </is>
      </c>
      <c r="L44" s="12" t="inlineStr">
        <is>
          <t>Results</t>
        </is>
      </c>
      <c r="M44" s="12" t="inlineStr">
        <is>
          <t>open</t>
        </is>
      </c>
      <c r="N44" s="12" t="inlineStr"/>
    </row>
    <row r="45">
      <c r="A45" s="11" t="inlineStr">
        <is>
          <t>K02</t>
        </is>
      </c>
      <c r="B45" s="12" t="inlineStr">
        <is>
          <t>Can</t>
        </is>
      </c>
      <c r="C45" s="12" t="inlineStr">
        <is>
          <t>Wall Rm, longitudinal (Variant = unbaked / baked)</t>
        </is>
      </c>
      <c r="D45" s="12" t="inlineStr">
        <is>
          <t>MPa</t>
        </is>
      </c>
      <c r="E45" s="12" t="inlineStr">
        <is>
          <t>Tensile test</t>
        </is>
      </c>
      <c r="F45" s="12" t="inlineStr">
        <is>
          <t>Before and 1 day after the bake</t>
        </is>
      </c>
      <c r="G45" s="12" t="inlineStr">
        <is>
          <t>3 cans each</t>
        </is>
      </c>
      <c r="H45" s="13" t="inlineStr">
        <is>
          <t>A</t>
        </is>
      </c>
      <c r="I45" s="12" t="inlineStr">
        <is>
          <t>Can strength</t>
        </is>
      </c>
      <c r="J45" s="12" t="inlineStr">
        <is>
          <t>The strength target</t>
        </is>
      </c>
      <c r="K45" s="12" t="inlineStr">
        <is>
          <t>ch10 §3.4</t>
        </is>
      </c>
      <c r="L45" s="12" t="inlineStr">
        <is>
          <t>Results</t>
        </is>
      </c>
      <c r="M45" s="12" t="inlineStr">
        <is>
          <t>open</t>
        </is>
      </c>
      <c r="N45" s="12" t="inlineStr"/>
    </row>
    <row r="46">
      <c r="A46" s="11" t="inlineStr">
        <is>
          <t>K03</t>
        </is>
      </c>
      <c r="B46" s="12" t="inlineStr">
        <is>
          <t>Can</t>
        </is>
      </c>
      <c r="C46" s="12" t="inlineStr">
        <is>
          <t>Wall elongation A</t>
        </is>
      </c>
      <c r="D46" s="12" t="inlineStr">
        <is>
          <t>%</t>
        </is>
      </c>
      <c r="E46" s="12" t="inlineStr">
        <is>
          <t>Tensile test</t>
        </is>
      </c>
      <c r="F46" s="12" t="inlineStr">
        <is>
          <t>Before and 1 day after the bake</t>
        </is>
      </c>
      <c r="G46" s="12" t="inlineStr">
        <is>
          <t>3 cans each</t>
        </is>
      </c>
      <c r="H46" s="13" t="inlineStr">
        <is>
          <t>B</t>
        </is>
      </c>
      <c r="I46" s="12" t="inlineStr">
        <is>
          <t>Can strength</t>
        </is>
      </c>
      <c r="J46" s="12" t="inlineStr">
        <is>
          <t>Ductility left for necking and shaping</t>
        </is>
      </c>
      <c r="K46" s="12" t="inlineStr">
        <is>
          <t>ch10</t>
        </is>
      </c>
      <c r="L46" s="12" t="inlineStr">
        <is>
          <t>Results</t>
        </is>
      </c>
      <c r="M46" s="12" t="inlineStr">
        <is>
          <t>open</t>
        </is>
      </c>
      <c r="N46" s="12" t="inlineStr"/>
    </row>
    <row r="47">
      <c r="A47" s="11" t="inlineStr">
        <is>
          <t>K04</t>
        </is>
      </c>
      <c r="B47" s="12" t="inlineStr">
        <is>
          <t>Can</t>
        </is>
      </c>
      <c r="C47" s="12" t="inlineStr">
        <is>
          <t>Burst pressure</t>
        </is>
      </c>
      <c r="D47" s="12" t="inlineStr">
        <is>
          <t>bar</t>
        </is>
      </c>
      <c r="E47" s="12" t="inlineStr">
        <is>
          <t>Burst tester</t>
        </is>
      </c>
      <c r="F47" s="12" t="inlineStr">
        <is>
          <t>After the bake</t>
        </is>
      </c>
      <c r="G47" s="12" t="inlineStr">
        <is>
          <t>≥ 10 cans</t>
        </is>
      </c>
      <c r="H47" s="13" t="inlineStr">
        <is>
          <t>A</t>
        </is>
      </c>
      <c r="I47" s="12" t="inlineStr">
        <is>
          <t>Can strength</t>
        </is>
      </c>
      <c r="J47" s="12" t="inlineStr">
        <is>
          <t>Customer KPI; burst ≥ 1.2 × test pressure</t>
        </is>
      </c>
      <c r="K47" s="12" t="inlineStr">
        <is>
          <t>R19</t>
        </is>
      </c>
      <c r="L47" s="12" t="inlineStr">
        <is>
          <t>Results</t>
        </is>
      </c>
      <c r="M47" s="12" t="inlineStr">
        <is>
          <t>open</t>
        </is>
      </c>
      <c r="N47" s="12" t="inlineStr"/>
    </row>
    <row r="48">
      <c r="A48" s="11" t="inlineStr">
        <is>
          <t>K05</t>
        </is>
      </c>
      <c r="B48" s="12" t="inlineStr">
        <is>
          <t>Can</t>
        </is>
      </c>
      <c r="C48" s="12" t="inlineStr">
        <is>
          <t>Deformation (dome-reversal) pressure</t>
        </is>
      </c>
      <c r="D48" s="12" t="inlineStr">
        <is>
          <t>bar</t>
        </is>
      </c>
      <c r="E48" s="12" t="inlineStr">
        <is>
          <t>Pressure tester</t>
        </is>
      </c>
      <c r="F48" s="12" t="inlineStr">
        <is>
          <t>After the bake</t>
        </is>
      </c>
      <c r="G48" s="12" t="inlineStr">
        <is>
          <t>≥ 10 cans</t>
        </is>
      </c>
      <c r="H48" s="13" t="inlineStr">
        <is>
          <t>A</t>
        </is>
      </c>
      <c r="I48" s="12" t="inlineStr">
        <is>
          <t>Can strength</t>
        </is>
      </c>
      <c r="J48" s="12" t="inlineStr">
        <is>
          <t>Customer KPI; test ≥ 10 bar or 1.5 × P(50 °C)</t>
        </is>
      </c>
      <c r="K48" s="12" t="inlineStr">
        <is>
          <t>R19</t>
        </is>
      </c>
      <c r="L48" s="12" t="inlineStr">
        <is>
          <t>Results</t>
        </is>
      </c>
      <c r="M48" s="12" t="inlineStr">
        <is>
          <t>open</t>
        </is>
      </c>
      <c r="N48" s="12" t="inlineStr"/>
    </row>
    <row r="49">
      <c r="A49" s="11" t="inlineStr">
        <is>
          <t>K06</t>
        </is>
      </c>
      <c r="B49" s="12" t="inlineStr">
        <is>
          <t>Can</t>
        </is>
      </c>
      <c r="C49" s="12" t="inlineStr">
        <is>
          <t>Necking / shaping rejects</t>
        </is>
      </c>
      <c r="D49" s="12" t="inlineStr">
        <is>
          <t>%</t>
        </is>
      </c>
      <c r="E49" s="12" t="inlineStr">
        <is>
          <t>Line count</t>
        </is>
      </c>
      <c r="F49" s="12" t="inlineStr">
        <is>
          <t>Per lot</t>
        </is>
      </c>
      <c r="G49" s="12" t="inlineStr">
        <is>
          <t>Whole lot</t>
        </is>
      </c>
      <c r="H49" s="13" t="inlineStr">
        <is>
          <t>A</t>
        </is>
      </c>
      <c r="I49" s="12" t="inlineStr">
        <is>
          <t>Can strength</t>
        </is>
      </c>
      <c r="J49" s="12" t="inlineStr">
        <is>
          <t>Formability after the bake</t>
        </is>
      </c>
      <c r="K49" s="12" t="inlineStr">
        <is>
          <t>ch10</t>
        </is>
      </c>
      <c r="L49" s="12" t="inlineStr">
        <is>
          <t>Results</t>
        </is>
      </c>
      <c r="M49" s="12" t="inlineStr">
        <is>
          <t>open</t>
        </is>
      </c>
      <c r="N49" s="12" t="inlineStr"/>
    </row>
    <row r="50">
      <c r="A50" s="11" t="inlineStr">
        <is>
          <t>K07</t>
        </is>
      </c>
      <c r="B50" s="12" t="inlineStr">
        <is>
          <t>Can</t>
        </is>
      </c>
      <c r="C50" s="12" t="inlineStr">
        <is>
          <t>Wall hardness 1 and 30 days after the bake</t>
        </is>
      </c>
      <c r="D50" s="12" t="inlineStr">
        <is>
          <t>HV</t>
        </is>
      </c>
      <c r="E50" s="12" t="inlineStr">
        <is>
          <t>Micro-hardness</t>
        </is>
      </c>
      <c r="F50" s="12" t="inlineStr">
        <is>
          <t>Enter Age (h) after the bake</t>
        </is>
      </c>
      <c r="G50" s="12" t="inlineStr">
        <is>
          <t>3 cans</t>
        </is>
      </c>
      <c r="H50" s="13" t="inlineStr">
        <is>
          <t>B</t>
        </is>
      </c>
      <c r="I50" s="12" t="inlineStr">
        <is>
          <t>Ageing</t>
        </is>
      </c>
      <c r="J50" s="12" t="inlineStr">
        <is>
          <t>Ageing after the bake</t>
        </is>
      </c>
      <c r="K50" s="12" t="inlineStr">
        <is>
          <t>ch04 §6</t>
        </is>
      </c>
      <c r="L50" s="12" t="inlineStr">
        <is>
          <t>Results</t>
        </is>
      </c>
      <c r="M50" s="12" t="inlineStr">
        <is>
          <t>open</t>
        </is>
      </c>
      <c r="N50" s="12" t="inlineStr"/>
    </row>
    <row r="51">
      <c r="A51" s="11" t="inlineStr">
        <is>
          <t>K08</t>
        </is>
      </c>
      <c r="B51" s="12" t="inlineStr">
        <is>
          <t>Can</t>
        </is>
      </c>
      <c r="C51" s="12" t="inlineStr">
        <is>
          <t>Internal lacquer porosity / adhesion</t>
        </is>
      </c>
      <c r="D51" s="12" t="inlineStr">
        <is>
          <t>mA / grade</t>
        </is>
      </c>
      <c r="E51" s="12" t="inlineStr">
        <is>
          <t>Enamel rater; cross-cut test</t>
        </is>
      </c>
      <c r="F51" s="12" t="inlineStr">
        <is>
          <t>After the bake</t>
        </is>
      </c>
      <c r="G51" s="12" t="inlineStr">
        <is>
          <t>10 cans</t>
        </is>
      </c>
      <c r="H51" s="13" t="inlineStr">
        <is>
          <t>B</t>
        </is>
      </c>
      <c r="I51" s="12" t="inlineStr">
        <is>
          <t>Surface (MgO)</t>
        </is>
      </c>
      <c r="J51" s="12" t="inlineStr">
        <is>
          <t>Oxide effect on the coating</t>
        </is>
      </c>
      <c r="K51" s="12" t="inlineStr">
        <is>
          <t>ch14</t>
        </is>
      </c>
      <c r="L51" s="12" t="inlineStr">
        <is>
          <t>Results</t>
        </is>
      </c>
      <c r="M51" s="12" t="inlineStr">
        <is>
          <t>open</t>
        </is>
      </c>
      <c r="N51" s="12" t="inlineStr"/>
    </row>
  </sheetData>
  <autoFilter ref="A4:N51"/>
  <conditionalFormatting sqref="H5:H51">
    <cfRule type="expression" priority="1" dxfId="0">
      <formula>H5="A"</formula>
    </cfRule>
    <cfRule type="expression" priority="2" dxfId="1">
      <formula>H5="B"</formula>
    </cfRule>
  </conditionalFormatting>
  <conditionalFormatting sqref="M5:M51">
    <cfRule type="expression" priority="3" dxfId="2">
      <formula>M5="done"</formula>
    </cfRule>
    <cfRule type="expression" priority="4" dxfId="3">
      <formula>M5="not possible"</formula>
    </cfRule>
  </conditionalFormatting>
  <dataValidations count="1">
    <dataValidation sqref="M5:M51" showDropDown="0" showInputMessage="0" showErrorMessage="0" allowBlank="1" type="list">
      <formula1>"open,in progress,done,not possible"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4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8" customWidth="1" min="3" max="3"/>
    <col width="22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30" customWidth="1" min="26" max="26"/>
  </cols>
  <sheetData>
    <row r="1">
      <c r="A1" s="1" t="inlineStr">
        <is>
          <t>Chemistry — every spectrometer sample (wt %)</t>
        </is>
      </c>
    </row>
    <row r="2">
      <c r="A2" s="2" t="inlineStr">
        <is>
          <t>Enter ppm elements as wt % (5 ppm = 0.0005). Red = T11 sample outside the T11 window. Mn/Fe ≥ 0.5 favours compact α; Fe/Si &gt; 1 avoids free Si, ≥ 2 avoids β.</t>
        </is>
      </c>
    </row>
    <row r="4">
      <c r="A4" s="7" t="inlineStr">
        <is>
          <t>Sample ID</t>
        </is>
      </c>
      <c r="B4" s="7" t="inlineStr">
        <is>
          <t>Alloy</t>
        </is>
      </c>
      <c r="C4" s="7" t="inlineStr">
        <is>
          <t>Cast no.</t>
        </is>
      </c>
      <c r="D4" s="7" t="inlineStr">
        <is>
          <t>Sample point</t>
        </is>
      </c>
      <c r="E4" s="7" t="inlineStr">
        <is>
          <t>Date / time</t>
        </is>
      </c>
      <c r="F4" s="7" t="inlineStr">
        <is>
          <t>Si</t>
        </is>
      </c>
      <c r="G4" s="7" t="inlineStr">
        <is>
          <t>Fe</t>
        </is>
      </c>
      <c r="H4" s="7" t="inlineStr">
        <is>
          <t>Mn</t>
        </is>
      </c>
      <c r="I4" s="7" t="inlineStr">
        <is>
          <t>Mg</t>
        </is>
      </c>
      <c r="J4" s="7" t="inlineStr">
        <is>
          <t>Cu</t>
        </is>
      </c>
      <c r="K4" s="7" t="inlineStr">
        <is>
          <t>Ti</t>
        </is>
      </c>
      <c r="L4" s="7" t="inlineStr">
        <is>
          <t>Zn</t>
        </is>
      </c>
      <c r="M4" s="7" t="inlineStr">
        <is>
          <t>Cr</t>
        </is>
      </c>
      <c r="N4" s="7" t="inlineStr">
        <is>
          <t>Ni</t>
        </is>
      </c>
      <c r="O4" s="7" t="inlineStr">
        <is>
          <t>V</t>
        </is>
      </c>
      <c r="P4" s="7" t="inlineStr">
        <is>
          <t>Zr</t>
        </is>
      </c>
      <c r="Q4" s="7" t="inlineStr">
        <is>
          <t>B</t>
        </is>
      </c>
      <c r="R4" s="7" t="inlineStr">
        <is>
          <t>Ga</t>
        </is>
      </c>
      <c r="S4" s="7" t="inlineStr">
        <is>
          <t>Na</t>
        </is>
      </c>
      <c r="T4" s="7" t="inlineStr">
        <is>
          <t>Ca</t>
        </is>
      </c>
      <c r="U4" s="7" t="inlineStr">
        <is>
          <t>Pb</t>
        </is>
      </c>
      <c r="V4" s="7" t="inlineStr">
        <is>
          <t>Sn</t>
        </is>
      </c>
      <c r="W4" s="7" t="inlineStr">
        <is>
          <t>Mn/Fe</t>
        </is>
      </c>
      <c r="X4" s="7" t="inlineStr">
        <is>
          <t>Fe/Si</t>
        </is>
      </c>
      <c r="Y4" s="7" t="inlineStr">
        <is>
          <t>Mg/Si</t>
        </is>
      </c>
      <c r="Z4" s="7" t="inlineStr">
        <is>
          <t>Notes</t>
        </is>
      </c>
    </row>
    <row r="5">
      <c r="A5" s="14" t="inlineStr">
        <is>
          <t>T11 target</t>
        </is>
      </c>
      <c r="B5" s="15" t="n"/>
      <c r="C5" s="15" t="n"/>
      <c r="D5" s="15" t="n"/>
      <c r="E5" s="15" t="n"/>
      <c r="F5" s="15" t="n">
        <v>0.38</v>
      </c>
      <c r="G5" s="15" t="n">
        <v>0.52</v>
      </c>
      <c r="H5" s="15" t="n">
        <v>0.14</v>
      </c>
      <c r="I5" s="15" t="n">
        <v>0.26</v>
      </c>
      <c r="J5" s="15" t="n">
        <v>0.038</v>
      </c>
      <c r="K5" s="15" t="n">
        <v>0.043</v>
      </c>
      <c r="L5" s="15" t="n">
        <v>0.034</v>
      </c>
      <c r="M5" s="15" t="n">
        <v>0.011</v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6">
        <f>IF(AND(ISNUMBER(H5),ISNUMBER(G5),N(G5)&gt;0),H5/G5,"")</f>
        <v/>
      </c>
      <c r="X5" s="16">
        <f>IF(AND(ISNUMBER(G5),ISNUMBER(F5),N(F5)&gt;0),G5/F5,"")</f>
        <v/>
      </c>
      <c r="Y5" s="16">
        <f>IF(AND(ISNUMBER(I5),ISNUMBER(F5),N(F5)&gt;0),I5/F5,"")</f>
        <v/>
      </c>
      <c r="Z5" s="15" t="n"/>
    </row>
    <row r="6">
      <c r="A6" s="14" t="inlineStr">
        <is>
          <t>T11 min</t>
        </is>
      </c>
      <c r="B6" s="15" t="n"/>
      <c r="C6" s="15" t="n"/>
      <c r="D6" s="15" t="n"/>
      <c r="E6" s="15" t="n"/>
      <c r="F6" s="15" t="n">
        <v>0.37</v>
      </c>
      <c r="G6" s="15" t="n">
        <v>0.51</v>
      </c>
      <c r="H6" s="15" t="n">
        <v>0.13</v>
      </c>
      <c r="I6" s="15" t="n">
        <v>0.24</v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4" t="inlineStr">
        <is>
          <t>T11 max</t>
        </is>
      </c>
      <c r="B7" s="15" t="n"/>
      <c r="C7" s="15" t="n"/>
      <c r="D7" s="15" t="n"/>
      <c r="E7" s="15" t="n"/>
      <c r="F7" s="15" t="n">
        <v>0.39</v>
      </c>
      <c r="G7" s="15" t="n">
        <v>0.53</v>
      </c>
      <c r="H7" s="15" t="n">
        <v>0.15</v>
      </c>
      <c r="I7" s="15" t="n">
        <v>0.28</v>
      </c>
      <c r="J7" s="15" t="n">
        <v>0.042</v>
      </c>
      <c r="K7" s="15" t="n">
        <v>0.05</v>
      </c>
      <c r="L7" s="15" t="n">
        <v>0.05</v>
      </c>
      <c r="M7" s="15" t="n">
        <v>0.03</v>
      </c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7" t="inlineStr">
        <is>
          <t>T11-C1-CH-FB</t>
        </is>
      </c>
      <c r="B8" s="17" t="inlineStr">
        <is>
          <t>T11</t>
        </is>
      </c>
      <c r="C8" s="17" t="inlineStr">
        <is>
          <t>C1</t>
        </is>
      </c>
      <c r="D8" s="17" t="inlineStr">
        <is>
          <t>Furnace before correction</t>
        </is>
      </c>
      <c r="E8" s="17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9">
        <f>IF(AND(ISNUMBER(H8),ISNUMBER(G8),N(G8)&gt;0),H8/G8,"")</f>
        <v/>
      </c>
      <c r="X8" s="19">
        <f>IF(AND(ISNUMBER(G8),ISNUMBER(F8),N(F8)&gt;0),G8/F8,"")</f>
        <v/>
      </c>
      <c r="Y8" s="19">
        <f>IF(AND(ISNUMBER(I8),ISNUMBER(F8),N(F8)&gt;0),I8/F8,"")</f>
        <v/>
      </c>
      <c r="Z8" s="17" t="n"/>
    </row>
    <row r="9">
      <c r="A9" s="17" t="inlineStr">
        <is>
          <t>T11-C1-CH-FF</t>
        </is>
      </c>
      <c r="B9" s="17" t="inlineStr">
        <is>
          <t>T11</t>
        </is>
      </c>
      <c r="C9" s="17" t="inlineStr">
        <is>
          <t>C1</t>
        </is>
      </c>
      <c r="D9" s="17" t="inlineStr">
        <is>
          <t>Furnace final</t>
        </is>
      </c>
      <c r="E9" s="17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9">
        <f>IF(AND(ISNUMBER(H9),ISNUMBER(G9),N(G9)&gt;0),H9/G9,"")</f>
        <v/>
      </c>
      <c r="X9" s="19">
        <f>IF(AND(ISNUMBER(G9),ISNUMBER(F9),N(F9)&gt;0),G9/F9,"")</f>
        <v/>
      </c>
      <c r="Y9" s="19">
        <f>IF(AND(ISNUMBER(I9),ISNUMBER(F9),N(F9)&gt;0),I9/F9,"")</f>
        <v/>
      </c>
      <c r="Z9" s="17" t="n"/>
    </row>
    <row r="10">
      <c r="A10" s="17" t="inlineStr">
        <is>
          <t>T11-C1-CH-CS</t>
        </is>
      </c>
      <c r="B10" s="17" t="inlineStr">
        <is>
          <t>T11</t>
        </is>
      </c>
      <c r="C10" s="17" t="inlineStr">
        <is>
          <t>C1</t>
        </is>
      </c>
      <c r="D10" s="17" t="inlineStr">
        <is>
          <t>Cast start</t>
        </is>
      </c>
      <c r="E10" s="17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9">
        <f>IF(AND(ISNUMBER(H10),ISNUMBER(G10),N(G10)&gt;0),H10/G10,"")</f>
        <v/>
      </c>
      <c r="X10" s="19">
        <f>IF(AND(ISNUMBER(G10),ISNUMBER(F10),N(F10)&gt;0),G10/F10,"")</f>
        <v/>
      </c>
      <c r="Y10" s="19">
        <f>IF(AND(ISNUMBER(I10),ISNUMBER(F10),N(F10)&gt;0),I10/F10,"")</f>
        <v/>
      </c>
      <c r="Z10" s="17" t="n"/>
    </row>
    <row r="11">
      <c r="A11" s="17" t="inlineStr">
        <is>
          <t>T11-C1-CH-CM</t>
        </is>
      </c>
      <c r="B11" s="17" t="inlineStr">
        <is>
          <t>T11</t>
        </is>
      </c>
      <c r="C11" s="17" t="inlineStr">
        <is>
          <t>C1</t>
        </is>
      </c>
      <c r="D11" s="17" t="inlineStr">
        <is>
          <t>Cast middle</t>
        </is>
      </c>
      <c r="E11" s="17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9">
        <f>IF(AND(ISNUMBER(H11),ISNUMBER(G11),N(G11)&gt;0),H11/G11,"")</f>
        <v/>
      </c>
      <c r="X11" s="19">
        <f>IF(AND(ISNUMBER(G11),ISNUMBER(F11),N(F11)&gt;0),G11/F11,"")</f>
        <v/>
      </c>
      <c r="Y11" s="19">
        <f>IF(AND(ISNUMBER(I11),ISNUMBER(F11),N(F11)&gt;0),I11/F11,"")</f>
        <v/>
      </c>
      <c r="Z11" s="17" t="n"/>
    </row>
    <row r="12">
      <c r="A12" s="17" t="inlineStr">
        <is>
          <t>T11-C1-CH-CE</t>
        </is>
      </c>
      <c r="B12" s="17" t="inlineStr">
        <is>
          <t>T11</t>
        </is>
      </c>
      <c r="C12" s="17" t="inlineStr">
        <is>
          <t>C1</t>
        </is>
      </c>
      <c r="D12" s="17" t="inlineStr">
        <is>
          <t>Cast end</t>
        </is>
      </c>
      <c r="E12" s="17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9">
        <f>IF(AND(ISNUMBER(H12),ISNUMBER(G12),N(G12)&gt;0),H12/G12,"")</f>
        <v/>
      </c>
      <c r="X12" s="19">
        <f>IF(AND(ISNUMBER(G12),ISNUMBER(F12),N(F12)&gt;0),G12/F12,"")</f>
        <v/>
      </c>
      <c r="Y12" s="19">
        <f>IF(AND(ISNUMBER(I12),ISNUMBER(F12),N(F12)&gt;0),I12/F12,"")</f>
        <v/>
      </c>
      <c r="Z12" s="17" t="n"/>
    </row>
    <row r="13">
      <c r="A13" s="17" t="inlineStr">
        <is>
          <t>T11-C1-CH-SS</t>
        </is>
      </c>
      <c r="B13" s="17" t="inlineStr">
        <is>
          <t>T11</t>
        </is>
      </c>
      <c r="C13" s="17" t="inlineStr">
        <is>
          <t>C1</t>
        </is>
      </c>
      <c r="D13" s="17" t="inlineStr">
        <is>
          <t>Strip surface</t>
        </is>
      </c>
      <c r="E13" s="17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9">
        <f>IF(AND(ISNUMBER(H13),ISNUMBER(G13),N(G13)&gt;0),H13/G13,"")</f>
        <v/>
      </c>
      <c r="X13" s="19">
        <f>IF(AND(ISNUMBER(G13),ISNUMBER(F13),N(F13)&gt;0),G13/F13,"")</f>
        <v/>
      </c>
      <c r="Y13" s="19">
        <f>IF(AND(ISNUMBER(I13),ISNUMBER(F13),N(F13)&gt;0),I13/F13,"")</f>
        <v/>
      </c>
      <c r="Z13" s="17" t="n"/>
    </row>
    <row r="14">
      <c r="A14" s="17" t="inlineStr">
        <is>
          <t>T11-C1-CH-SC</t>
        </is>
      </c>
      <c r="B14" s="17" t="inlineStr">
        <is>
          <t>T11</t>
        </is>
      </c>
      <c r="C14" s="17" t="inlineStr">
        <is>
          <t>C1</t>
        </is>
      </c>
      <c r="D14" s="17" t="inlineStr">
        <is>
          <t>Strip centre</t>
        </is>
      </c>
      <c r="E14" s="17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9">
        <f>IF(AND(ISNUMBER(H14),ISNUMBER(G14),N(G14)&gt;0),H14/G14,"")</f>
        <v/>
      </c>
      <c r="X14" s="19">
        <f>IF(AND(ISNUMBER(G14),ISNUMBER(F14),N(F14)&gt;0),G14/F14,"")</f>
        <v/>
      </c>
      <c r="Y14" s="19">
        <f>IF(AND(ISNUMBER(I14),ISNUMBER(F14),N(F14)&gt;0),I14/F14,"")</f>
        <v/>
      </c>
      <c r="Z14" s="17" t="n"/>
    </row>
    <row r="15">
      <c r="A15" s="17" t="inlineStr">
        <is>
          <t>REF-C1-CH-CM</t>
        </is>
      </c>
      <c r="B15" s="17" t="inlineStr">
        <is>
          <t>REF</t>
        </is>
      </c>
      <c r="C15" s="17" t="inlineStr">
        <is>
          <t>C1</t>
        </is>
      </c>
      <c r="D15" s="17" t="inlineStr">
        <is>
          <t>Cast middle</t>
        </is>
      </c>
      <c r="E15" s="17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9">
        <f>IF(AND(ISNUMBER(H15),ISNUMBER(G15),N(G15)&gt;0),H15/G15,"")</f>
        <v/>
      </c>
      <c r="X15" s="19">
        <f>IF(AND(ISNUMBER(G15),ISNUMBER(F15),N(F15)&gt;0),G15/F15,"")</f>
        <v/>
      </c>
      <c r="Y15" s="19">
        <f>IF(AND(ISNUMBER(I15),ISNUMBER(F15),N(F15)&gt;0),I15/F15,"")</f>
        <v/>
      </c>
      <c r="Z15" s="17" t="n"/>
    </row>
    <row r="16">
      <c r="A16" s="17" t="n"/>
      <c r="B16" s="17" t="n"/>
      <c r="C16" s="17" t="n"/>
      <c r="D16" s="17" t="n"/>
      <c r="E16" s="17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9">
        <f>IF(AND(ISNUMBER(H16),ISNUMBER(G16),N(G16)&gt;0),H16/G16,"")</f>
        <v/>
      </c>
      <c r="X16" s="19">
        <f>IF(AND(ISNUMBER(G16),ISNUMBER(F16),N(F16)&gt;0),G16/F16,"")</f>
        <v/>
      </c>
      <c r="Y16" s="19">
        <f>IF(AND(ISNUMBER(I16),ISNUMBER(F16),N(F16)&gt;0),I16/F16,"")</f>
        <v/>
      </c>
      <c r="Z16" s="17" t="n"/>
    </row>
    <row r="17">
      <c r="A17" s="17" t="n"/>
      <c r="B17" s="17" t="n"/>
      <c r="C17" s="17" t="n"/>
      <c r="D17" s="17" t="n"/>
      <c r="E17" s="17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9">
        <f>IF(AND(ISNUMBER(H17),ISNUMBER(G17),N(G17)&gt;0),H17/G17,"")</f>
        <v/>
      </c>
      <c r="X17" s="19">
        <f>IF(AND(ISNUMBER(G17),ISNUMBER(F17),N(F17)&gt;0),G17/F17,"")</f>
        <v/>
      </c>
      <c r="Y17" s="19">
        <f>IF(AND(ISNUMBER(I17),ISNUMBER(F17),N(F17)&gt;0),I17/F17,"")</f>
        <v/>
      </c>
      <c r="Z17" s="17" t="n"/>
    </row>
    <row r="18">
      <c r="A18" s="17" t="n"/>
      <c r="B18" s="17" t="n"/>
      <c r="C18" s="17" t="n"/>
      <c r="D18" s="17" t="n"/>
      <c r="E18" s="17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9">
        <f>IF(AND(ISNUMBER(H18),ISNUMBER(G18),N(G18)&gt;0),H18/G18,"")</f>
        <v/>
      </c>
      <c r="X18" s="19">
        <f>IF(AND(ISNUMBER(G18),ISNUMBER(F18),N(F18)&gt;0),G18/F18,"")</f>
        <v/>
      </c>
      <c r="Y18" s="19">
        <f>IF(AND(ISNUMBER(I18),ISNUMBER(F18),N(F18)&gt;0),I18/F18,"")</f>
        <v/>
      </c>
      <c r="Z18" s="17" t="n"/>
    </row>
    <row r="19">
      <c r="A19" s="17" t="n"/>
      <c r="B19" s="17" t="n"/>
      <c r="C19" s="17" t="n"/>
      <c r="D19" s="17" t="n"/>
      <c r="E19" s="17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9">
        <f>IF(AND(ISNUMBER(H19),ISNUMBER(G19),N(G19)&gt;0),H19/G19,"")</f>
        <v/>
      </c>
      <c r="X19" s="19">
        <f>IF(AND(ISNUMBER(G19),ISNUMBER(F19),N(F19)&gt;0),G19/F19,"")</f>
        <v/>
      </c>
      <c r="Y19" s="19">
        <f>IF(AND(ISNUMBER(I19),ISNUMBER(F19),N(F19)&gt;0),I19/F19,"")</f>
        <v/>
      </c>
      <c r="Z19" s="17" t="n"/>
    </row>
    <row r="20">
      <c r="A20" s="17" t="n"/>
      <c r="B20" s="17" t="n"/>
      <c r="C20" s="17" t="n"/>
      <c r="D20" s="17" t="n"/>
      <c r="E20" s="17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9">
        <f>IF(AND(ISNUMBER(H20),ISNUMBER(G20),N(G20)&gt;0),H20/G20,"")</f>
        <v/>
      </c>
      <c r="X20" s="19">
        <f>IF(AND(ISNUMBER(G20),ISNUMBER(F20),N(F20)&gt;0),G20/F20,"")</f>
        <v/>
      </c>
      <c r="Y20" s="19">
        <f>IF(AND(ISNUMBER(I20),ISNUMBER(F20),N(F20)&gt;0),I20/F20,"")</f>
        <v/>
      </c>
      <c r="Z20" s="17" t="n"/>
    </row>
    <row r="21">
      <c r="A21" s="17" t="n"/>
      <c r="B21" s="17" t="n"/>
      <c r="C21" s="17" t="n"/>
      <c r="D21" s="17" t="n"/>
      <c r="E21" s="17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9">
        <f>IF(AND(ISNUMBER(H21),ISNUMBER(G21),N(G21)&gt;0),H21/G21,"")</f>
        <v/>
      </c>
      <c r="X21" s="19">
        <f>IF(AND(ISNUMBER(G21),ISNUMBER(F21),N(F21)&gt;0),G21/F21,"")</f>
        <v/>
      </c>
      <c r="Y21" s="19">
        <f>IF(AND(ISNUMBER(I21),ISNUMBER(F21),N(F21)&gt;0),I21/F21,"")</f>
        <v/>
      </c>
      <c r="Z21" s="17" t="n"/>
    </row>
    <row r="22">
      <c r="A22" s="17" t="n"/>
      <c r="B22" s="17" t="n"/>
      <c r="C22" s="17" t="n"/>
      <c r="D22" s="17" t="n"/>
      <c r="E22" s="17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9">
        <f>IF(AND(ISNUMBER(H22),ISNUMBER(G22),N(G22)&gt;0),H22/G22,"")</f>
        <v/>
      </c>
      <c r="X22" s="19">
        <f>IF(AND(ISNUMBER(G22),ISNUMBER(F22),N(F22)&gt;0),G22/F22,"")</f>
        <v/>
      </c>
      <c r="Y22" s="19">
        <f>IF(AND(ISNUMBER(I22),ISNUMBER(F22),N(F22)&gt;0),I22/F22,"")</f>
        <v/>
      </c>
      <c r="Z22" s="17" t="n"/>
    </row>
    <row r="23">
      <c r="A23" s="17" t="n"/>
      <c r="B23" s="17" t="n"/>
      <c r="C23" s="17" t="n"/>
      <c r="D23" s="17" t="n"/>
      <c r="E23" s="17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9">
        <f>IF(AND(ISNUMBER(H23),ISNUMBER(G23),N(G23)&gt;0),H23/G23,"")</f>
        <v/>
      </c>
      <c r="X23" s="19">
        <f>IF(AND(ISNUMBER(G23),ISNUMBER(F23),N(F23)&gt;0),G23/F23,"")</f>
        <v/>
      </c>
      <c r="Y23" s="19">
        <f>IF(AND(ISNUMBER(I23),ISNUMBER(F23),N(F23)&gt;0),I23/F23,"")</f>
        <v/>
      </c>
      <c r="Z23" s="17" t="n"/>
    </row>
    <row r="24">
      <c r="A24" s="17" t="n"/>
      <c r="B24" s="17" t="n"/>
      <c r="C24" s="17" t="n"/>
      <c r="D24" s="17" t="n"/>
      <c r="E24" s="17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9">
        <f>IF(AND(ISNUMBER(H24),ISNUMBER(G24),N(G24)&gt;0),H24/G24,"")</f>
        <v/>
      </c>
      <c r="X24" s="19">
        <f>IF(AND(ISNUMBER(G24),ISNUMBER(F24),N(F24)&gt;0),G24/F24,"")</f>
        <v/>
      </c>
      <c r="Y24" s="19">
        <f>IF(AND(ISNUMBER(I24),ISNUMBER(F24),N(F24)&gt;0),I24/F24,"")</f>
        <v/>
      </c>
      <c r="Z24" s="17" t="n"/>
    </row>
    <row r="25">
      <c r="A25" s="17" t="n"/>
      <c r="B25" s="17" t="n"/>
      <c r="C25" s="17" t="n"/>
      <c r="D25" s="17" t="n"/>
      <c r="E25" s="17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9">
        <f>IF(AND(ISNUMBER(H25),ISNUMBER(G25),N(G25)&gt;0),H25/G25,"")</f>
        <v/>
      </c>
      <c r="X25" s="19">
        <f>IF(AND(ISNUMBER(G25),ISNUMBER(F25),N(F25)&gt;0),G25/F25,"")</f>
        <v/>
      </c>
      <c r="Y25" s="19">
        <f>IF(AND(ISNUMBER(I25),ISNUMBER(F25),N(F25)&gt;0),I25/F25,"")</f>
        <v/>
      </c>
      <c r="Z25" s="17" t="n"/>
    </row>
    <row r="26">
      <c r="A26" s="17" t="n"/>
      <c r="B26" s="17" t="n"/>
      <c r="C26" s="17" t="n"/>
      <c r="D26" s="17" t="n"/>
      <c r="E26" s="17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9">
        <f>IF(AND(ISNUMBER(H26),ISNUMBER(G26),N(G26)&gt;0),H26/G26,"")</f>
        <v/>
      </c>
      <c r="X26" s="19">
        <f>IF(AND(ISNUMBER(G26),ISNUMBER(F26),N(F26)&gt;0),G26/F26,"")</f>
        <v/>
      </c>
      <c r="Y26" s="19">
        <f>IF(AND(ISNUMBER(I26),ISNUMBER(F26),N(F26)&gt;0),I26/F26,"")</f>
        <v/>
      </c>
      <c r="Z26" s="17" t="n"/>
    </row>
    <row r="27">
      <c r="A27" s="17" t="n"/>
      <c r="B27" s="17" t="n"/>
      <c r="C27" s="17" t="n"/>
      <c r="D27" s="17" t="n"/>
      <c r="E27" s="17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9">
        <f>IF(AND(ISNUMBER(H27),ISNUMBER(G27),N(G27)&gt;0),H27/G27,"")</f>
        <v/>
      </c>
      <c r="X27" s="19">
        <f>IF(AND(ISNUMBER(G27),ISNUMBER(F27),N(F27)&gt;0),G27/F27,"")</f>
        <v/>
      </c>
      <c r="Y27" s="19">
        <f>IF(AND(ISNUMBER(I27),ISNUMBER(F27),N(F27)&gt;0),I27/F27,"")</f>
        <v/>
      </c>
      <c r="Z27" s="17" t="n"/>
    </row>
    <row r="28">
      <c r="A28" s="17" t="n"/>
      <c r="B28" s="17" t="n"/>
      <c r="C28" s="17" t="n"/>
      <c r="D28" s="17" t="n"/>
      <c r="E28" s="17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9">
        <f>IF(AND(ISNUMBER(H28),ISNUMBER(G28),N(G28)&gt;0),H28/G28,"")</f>
        <v/>
      </c>
      <c r="X28" s="19">
        <f>IF(AND(ISNUMBER(G28),ISNUMBER(F28),N(F28)&gt;0),G28/F28,"")</f>
        <v/>
      </c>
      <c r="Y28" s="19">
        <f>IF(AND(ISNUMBER(I28),ISNUMBER(F28),N(F28)&gt;0),I28/F28,"")</f>
        <v/>
      </c>
      <c r="Z28" s="17" t="n"/>
    </row>
    <row r="29">
      <c r="A29" s="17" t="n"/>
      <c r="B29" s="17" t="n"/>
      <c r="C29" s="17" t="n"/>
      <c r="D29" s="17" t="n"/>
      <c r="E29" s="17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9">
        <f>IF(AND(ISNUMBER(H29),ISNUMBER(G29),N(G29)&gt;0),H29/G29,"")</f>
        <v/>
      </c>
      <c r="X29" s="19">
        <f>IF(AND(ISNUMBER(G29),ISNUMBER(F29),N(F29)&gt;0),G29/F29,"")</f>
        <v/>
      </c>
      <c r="Y29" s="19">
        <f>IF(AND(ISNUMBER(I29),ISNUMBER(F29),N(F29)&gt;0),I29/F29,"")</f>
        <v/>
      </c>
      <c r="Z29" s="17" t="n"/>
    </row>
    <row r="30">
      <c r="A30" s="17" t="n"/>
      <c r="B30" s="17" t="n"/>
      <c r="C30" s="17" t="n"/>
      <c r="D30" s="17" t="n"/>
      <c r="E30" s="17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9">
        <f>IF(AND(ISNUMBER(H30),ISNUMBER(G30),N(G30)&gt;0),H30/G30,"")</f>
        <v/>
      </c>
      <c r="X30" s="19">
        <f>IF(AND(ISNUMBER(G30),ISNUMBER(F30),N(F30)&gt;0),G30/F30,"")</f>
        <v/>
      </c>
      <c r="Y30" s="19">
        <f>IF(AND(ISNUMBER(I30),ISNUMBER(F30),N(F30)&gt;0),I30/F30,"")</f>
        <v/>
      </c>
      <c r="Z30" s="17" t="n"/>
    </row>
    <row r="31">
      <c r="A31" s="17" t="n"/>
      <c r="B31" s="17" t="n"/>
      <c r="C31" s="17" t="n"/>
      <c r="D31" s="17" t="n"/>
      <c r="E31" s="17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9">
        <f>IF(AND(ISNUMBER(H31),ISNUMBER(G31),N(G31)&gt;0),H31/G31,"")</f>
        <v/>
      </c>
      <c r="X31" s="19">
        <f>IF(AND(ISNUMBER(G31),ISNUMBER(F31),N(F31)&gt;0),G31/F31,"")</f>
        <v/>
      </c>
      <c r="Y31" s="19">
        <f>IF(AND(ISNUMBER(I31),ISNUMBER(F31),N(F31)&gt;0),I31/F31,"")</f>
        <v/>
      </c>
      <c r="Z31" s="17" t="n"/>
    </row>
    <row r="32">
      <c r="A32" s="17" t="n"/>
      <c r="B32" s="17" t="n"/>
      <c r="C32" s="17" t="n"/>
      <c r="D32" s="17" t="n"/>
      <c r="E32" s="17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9">
        <f>IF(AND(ISNUMBER(H32),ISNUMBER(G32),N(G32)&gt;0),H32/G32,"")</f>
        <v/>
      </c>
      <c r="X32" s="19">
        <f>IF(AND(ISNUMBER(G32),ISNUMBER(F32),N(F32)&gt;0),G32/F32,"")</f>
        <v/>
      </c>
      <c r="Y32" s="19">
        <f>IF(AND(ISNUMBER(I32),ISNUMBER(F32),N(F32)&gt;0),I32/F32,"")</f>
        <v/>
      </c>
      <c r="Z32" s="17" t="n"/>
    </row>
    <row r="33">
      <c r="A33" s="17" t="n"/>
      <c r="B33" s="17" t="n"/>
      <c r="C33" s="17" t="n"/>
      <c r="D33" s="17" t="n"/>
      <c r="E33" s="17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9">
        <f>IF(AND(ISNUMBER(H33),ISNUMBER(G33),N(G33)&gt;0),H33/G33,"")</f>
        <v/>
      </c>
      <c r="X33" s="19">
        <f>IF(AND(ISNUMBER(G33),ISNUMBER(F33),N(F33)&gt;0),G33/F33,"")</f>
        <v/>
      </c>
      <c r="Y33" s="19">
        <f>IF(AND(ISNUMBER(I33),ISNUMBER(F33),N(F33)&gt;0),I33/F33,"")</f>
        <v/>
      </c>
      <c r="Z33" s="17" t="n"/>
    </row>
    <row r="34">
      <c r="A34" s="17" t="n"/>
      <c r="B34" s="17" t="n"/>
      <c r="C34" s="17" t="n"/>
      <c r="D34" s="17" t="n"/>
      <c r="E34" s="17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9">
        <f>IF(AND(ISNUMBER(H34),ISNUMBER(G34),N(G34)&gt;0),H34/G34,"")</f>
        <v/>
      </c>
      <c r="X34" s="19">
        <f>IF(AND(ISNUMBER(G34),ISNUMBER(F34),N(F34)&gt;0),G34/F34,"")</f>
        <v/>
      </c>
      <c r="Y34" s="19">
        <f>IF(AND(ISNUMBER(I34),ISNUMBER(F34),N(F34)&gt;0),I34/F34,"")</f>
        <v/>
      </c>
      <c r="Z34" s="17" t="n"/>
    </row>
    <row r="35">
      <c r="A35" s="17" t="n"/>
      <c r="B35" s="17" t="n"/>
      <c r="C35" s="17" t="n"/>
      <c r="D35" s="17" t="n"/>
      <c r="E35" s="17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>
        <f>IF(AND(ISNUMBER(H35),ISNUMBER(G35),N(G35)&gt;0),H35/G35,"")</f>
        <v/>
      </c>
      <c r="X35" s="19">
        <f>IF(AND(ISNUMBER(G35),ISNUMBER(F35),N(F35)&gt;0),G35/F35,"")</f>
        <v/>
      </c>
      <c r="Y35" s="19">
        <f>IF(AND(ISNUMBER(I35),ISNUMBER(F35),N(F35)&gt;0),I35/F35,"")</f>
        <v/>
      </c>
      <c r="Z35" s="17" t="n"/>
    </row>
    <row r="36">
      <c r="A36" s="17" t="n"/>
      <c r="B36" s="17" t="n"/>
      <c r="C36" s="17" t="n"/>
      <c r="D36" s="17" t="n"/>
      <c r="E36" s="17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9">
        <f>IF(AND(ISNUMBER(H36),ISNUMBER(G36),N(G36)&gt;0),H36/G36,"")</f>
        <v/>
      </c>
      <c r="X36" s="19">
        <f>IF(AND(ISNUMBER(G36),ISNUMBER(F36),N(F36)&gt;0),G36/F36,"")</f>
        <v/>
      </c>
      <c r="Y36" s="19">
        <f>IF(AND(ISNUMBER(I36),ISNUMBER(F36),N(F36)&gt;0),I36/F36,"")</f>
        <v/>
      </c>
      <c r="Z36" s="17" t="n"/>
    </row>
    <row r="37">
      <c r="A37" s="17" t="n"/>
      <c r="B37" s="17" t="n"/>
      <c r="C37" s="17" t="n"/>
      <c r="D37" s="17" t="n"/>
      <c r="E37" s="17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9">
        <f>IF(AND(ISNUMBER(H37),ISNUMBER(G37),N(G37)&gt;0),H37/G37,"")</f>
        <v/>
      </c>
      <c r="X37" s="19">
        <f>IF(AND(ISNUMBER(G37),ISNUMBER(F37),N(F37)&gt;0),G37/F37,"")</f>
        <v/>
      </c>
      <c r="Y37" s="19">
        <f>IF(AND(ISNUMBER(I37),ISNUMBER(F37),N(F37)&gt;0),I37/F37,"")</f>
        <v/>
      </c>
      <c r="Z37" s="17" t="n"/>
    </row>
    <row r="38">
      <c r="A38" s="17" t="n"/>
      <c r="B38" s="17" t="n"/>
      <c r="C38" s="17" t="n"/>
      <c r="D38" s="17" t="n"/>
      <c r="E38" s="17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9">
        <f>IF(AND(ISNUMBER(H38),ISNUMBER(G38),N(G38)&gt;0),H38/G38,"")</f>
        <v/>
      </c>
      <c r="X38" s="19">
        <f>IF(AND(ISNUMBER(G38),ISNUMBER(F38),N(F38)&gt;0),G38/F38,"")</f>
        <v/>
      </c>
      <c r="Y38" s="19">
        <f>IF(AND(ISNUMBER(I38),ISNUMBER(F38),N(F38)&gt;0),I38/F38,"")</f>
        <v/>
      </c>
      <c r="Z38" s="17" t="n"/>
    </row>
    <row r="39">
      <c r="A39" s="17" t="n"/>
      <c r="B39" s="17" t="n"/>
      <c r="C39" s="17" t="n"/>
      <c r="D39" s="17" t="n"/>
      <c r="E39" s="17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9">
        <f>IF(AND(ISNUMBER(H39),ISNUMBER(G39),N(G39)&gt;0),H39/G39,"")</f>
        <v/>
      </c>
      <c r="X39" s="19">
        <f>IF(AND(ISNUMBER(G39),ISNUMBER(F39),N(F39)&gt;0),G39/F39,"")</f>
        <v/>
      </c>
      <c r="Y39" s="19">
        <f>IF(AND(ISNUMBER(I39),ISNUMBER(F39),N(F39)&gt;0),I39/F39,"")</f>
        <v/>
      </c>
      <c r="Z39" s="17" t="n"/>
    </row>
    <row r="40">
      <c r="A40" s="17" t="n"/>
      <c r="B40" s="17" t="n"/>
      <c r="C40" s="17" t="n"/>
      <c r="D40" s="17" t="n"/>
      <c r="E40" s="17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9">
        <f>IF(AND(ISNUMBER(H40),ISNUMBER(G40),N(G40)&gt;0),H40/G40,"")</f>
        <v/>
      </c>
      <c r="X40" s="19">
        <f>IF(AND(ISNUMBER(G40),ISNUMBER(F40),N(F40)&gt;0),G40/F40,"")</f>
        <v/>
      </c>
      <c r="Y40" s="19">
        <f>IF(AND(ISNUMBER(I40),ISNUMBER(F40),N(F40)&gt;0),I40/F40,"")</f>
        <v/>
      </c>
      <c r="Z40" s="17" t="n"/>
    </row>
  </sheetData>
  <conditionalFormatting sqref="F8:F40">
    <cfRule type="expression" priority="1" dxfId="4">
      <formula>AND($B8="T11",ISNUMBER(F8),OR(F8&lt;F$6,F8&gt;F$7))</formula>
    </cfRule>
  </conditionalFormatting>
  <conditionalFormatting sqref="G8:G40">
    <cfRule type="expression" priority="2" dxfId="4">
      <formula>AND($B8="T11",ISNUMBER(G8),OR(G8&lt;G$6,G8&gt;G$7))</formula>
    </cfRule>
  </conditionalFormatting>
  <conditionalFormatting sqref="H8:H40">
    <cfRule type="expression" priority="3" dxfId="4">
      <formula>AND($B8="T11",ISNUMBER(H8),OR(H8&lt;H$6,H8&gt;H$7))</formula>
    </cfRule>
  </conditionalFormatting>
  <conditionalFormatting sqref="I8:I40">
    <cfRule type="expression" priority="4" dxfId="4">
      <formula>AND($B8="T11",ISNUMBER(I8),OR(I8&lt;I$6,I8&gt;I$7))</formula>
    </cfRule>
  </conditionalFormatting>
  <conditionalFormatting sqref="J8:J40">
    <cfRule type="expression" priority="5" dxfId="4">
      <formula>AND($B8="T11",ISNUMBER(J8),J8&gt;J$7)</formula>
    </cfRule>
  </conditionalFormatting>
  <conditionalFormatting sqref="K8:K40">
    <cfRule type="expression" priority="6" dxfId="4">
      <formula>AND($B8="T11",ISNUMBER(K8),K8&gt;K$7)</formula>
    </cfRule>
  </conditionalFormatting>
  <conditionalFormatting sqref="L8:L40">
    <cfRule type="expression" priority="7" dxfId="4">
      <formula>AND($B8="T11",ISNUMBER(L8),L8&gt;L$7)</formula>
    </cfRule>
  </conditionalFormatting>
  <conditionalFormatting sqref="M8:M40">
    <cfRule type="expression" priority="8" dxfId="4">
      <formula>AND($B8="T11",ISNUMBER(M8),M8&gt;M$7)</formula>
    </cfRule>
  </conditionalFormatting>
  <dataValidations count="2">
    <dataValidation sqref="D8:D40" showDropDown="0" showInputMessage="0" showErrorMessage="0" allowBlank="1" type="list">
      <formula1>=Lists!$D$2:$D$9</formula1>
    </dataValidation>
    <dataValidation sqref="B8:B40" showDropDown="0" showInputMessage="0" showErrorMessage="0" allowBlank="1" type="list">
      <formula1>"T11,REF"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5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Process log — one column per coil</t>
        </is>
      </c>
    </row>
    <row r="2">
      <c r="A2" s="2" t="inlineStr">
        <is>
          <t>Enter actual values. Grey cells calculate themselves. Melt rows: fill once per cast.</t>
        </is>
      </c>
    </row>
    <row r="4">
      <c r="A4" s="7" t="inlineStr">
        <is>
          <t>Stage</t>
        </is>
      </c>
      <c r="B4" s="7" t="inlineStr">
        <is>
          <t>Parameter</t>
        </is>
      </c>
      <c r="C4" s="7" t="inlineStr">
        <is>
          <t>Unit</t>
        </is>
      </c>
      <c r="D4" s="7" t="inlineStr">
        <is>
          <t>Expected / target</t>
        </is>
      </c>
      <c r="E4" s="7" t="inlineStr">
        <is>
          <t>T11 coil 1</t>
        </is>
      </c>
      <c r="F4" s="7" t="inlineStr">
        <is>
          <t>T11 coil 2</t>
        </is>
      </c>
      <c r="G4" s="7" t="inlineStr">
        <is>
          <t>T11 coil 3</t>
        </is>
      </c>
      <c r="H4" s="7" t="inlineStr">
        <is>
          <t>T11 coil 4</t>
        </is>
      </c>
      <c r="I4" s="7" t="inlineStr">
        <is>
          <t>REF coil 1</t>
        </is>
      </c>
      <c r="J4" s="7" t="inlineStr">
        <is>
          <t>REF coil 2</t>
        </is>
      </c>
      <c r="K4" s="7" t="inlineStr">
        <is>
          <t>Notes</t>
        </is>
      </c>
    </row>
    <row r="5">
      <c r="A5" s="9" t="inlineStr">
        <is>
          <t>ID</t>
        </is>
      </c>
      <c r="B5" s="9" t="inlineStr">
        <is>
          <t>Alloy</t>
        </is>
      </c>
      <c r="C5" s="9" t="inlineStr">
        <is>
          <t>–</t>
        </is>
      </c>
      <c r="D5" s="9" t="inlineStr">
        <is>
          <t>T11 / REF</t>
        </is>
      </c>
      <c r="E5" s="17" t="inlineStr">
        <is>
          <t>T11</t>
        </is>
      </c>
      <c r="F5" s="17" t="inlineStr">
        <is>
          <t>T11</t>
        </is>
      </c>
      <c r="G5" s="17" t="inlineStr">
        <is>
          <t>T11</t>
        </is>
      </c>
      <c r="H5" s="17" t="inlineStr">
        <is>
          <t>T11</t>
        </is>
      </c>
      <c r="I5" s="17" t="inlineStr">
        <is>
          <t>REF</t>
        </is>
      </c>
      <c r="J5" s="17" t="inlineStr">
        <is>
          <t>REF</t>
        </is>
      </c>
      <c r="K5" s="17" t="n"/>
    </row>
    <row r="6">
      <c r="A6" s="9" t="inlineStr">
        <is>
          <t>ID</t>
        </is>
      </c>
      <c r="B6" s="9" t="inlineStr">
        <is>
          <t>Cast no.</t>
        </is>
      </c>
      <c r="C6" s="9" t="inlineStr">
        <is>
          <t>–</t>
        </is>
      </c>
      <c r="D6" s="9" t="inlineStr"/>
      <c r="E6" s="17" t="n"/>
      <c r="F6" s="17" t="n"/>
      <c r="G6" s="17" t="n"/>
      <c r="H6" s="17" t="n"/>
      <c r="I6" s="17" t="n"/>
      <c r="J6" s="17" t="n"/>
      <c r="K6" s="17" t="n"/>
    </row>
    <row r="7">
      <c r="A7" s="9" t="inlineStr">
        <is>
          <t>ID</t>
        </is>
      </c>
      <c r="B7" s="9" t="inlineStr">
        <is>
          <t>Coil no.</t>
        </is>
      </c>
      <c r="C7" s="9" t="inlineStr">
        <is>
          <t>–</t>
        </is>
      </c>
      <c r="D7" s="9" t="inlineStr"/>
      <c r="E7" s="17" t="inlineStr">
        <is>
          <t>K1</t>
        </is>
      </c>
      <c r="F7" s="17" t="inlineStr">
        <is>
          <t>K2</t>
        </is>
      </c>
      <c r="G7" s="17" t="inlineStr">
        <is>
          <t>K3</t>
        </is>
      </c>
      <c r="H7" s="17" t="inlineStr">
        <is>
          <t>K4</t>
        </is>
      </c>
      <c r="I7" s="17" t="inlineStr">
        <is>
          <t>K1</t>
        </is>
      </c>
      <c r="J7" s="17" t="inlineStr">
        <is>
          <t>K2</t>
        </is>
      </c>
      <c r="K7" s="17" t="n"/>
    </row>
    <row r="8">
      <c r="A8" s="9" t="inlineStr">
        <is>
          <t>ID</t>
        </is>
      </c>
      <c r="B8" s="9" t="inlineStr">
        <is>
          <t>Casting date and time</t>
        </is>
      </c>
      <c r="C8" s="9" t="inlineStr">
        <is>
          <t>date</t>
        </is>
      </c>
      <c r="D8" s="9" t="inlineStr"/>
      <c r="E8" s="20" t="n"/>
      <c r="F8" s="20" t="n"/>
      <c r="G8" s="20" t="n"/>
      <c r="H8" s="20" t="n"/>
      <c r="I8" s="20" t="n"/>
      <c r="J8" s="20" t="n"/>
      <c r="K8" s="17" t="n"/>
    </row>
    <row r="9">
      <c r="A9" s="9" t="inlineStr">
        <is>
          <t>ID</t>
        </is>
      </c>
      <c r="B9" s="9" t="inlineStr">
        <is>
          <t>Trial variant</t>
        </is>
      </c>
      <c r="C9" s="9" t="inlineStr">
        <is>
          <t>text</t>
        </is>
      </c>
      <c r="D9" s="9" t="inlineStr">
        <is>
          <t>split; anneal atmosphere; cooling</t>
        </is>
      </c>
      <c r="E9" s="17" t="n"/>
      <c r="F9" s="17" t="n"/>
      <c r="G9" s="17" t="n"/>
      <c r="H9" s="17" t="n"/>
      <c r="I9" s="17" t="n"/>
      <c r="J9" s="17" t="n"/>
      <c r="K9" s="17" t="n"/>
    </row>
    <row r="10">
      <c r="A10" s="12" t="inlineStr">
        <is>
          <t>Melt</t>
        </is>
      </c>
      <c r="B10" s="12" t="inlineStr">
        <is>
          <t>T11S scrap charged</t>
        </is>
      </c>
      <c r="C10" s="12" t="inlineStr">
        <is>
          <t>kg</t>
        </is>
      </c>
      <c r="D10" s="12" t="inlineStr">
        <is>
          <t>≈ 3,460 per 10 t (weigh-in)</t>
        </is>
      </c>
      <c r="E10" s="17" t="n"/>
      <c r="F10" s="17" t="n"/>
      <c r="G10" s="17" t="n"/>
      <c r="H10" s="17" t="n"/>
      <c r="I10" s="17" t="n"/>
      <c r="J10" s="17" t="n"/>
      <c r="K10" s="17" t="n"/>
    </row>
    <row r="11">
      <c r="A11" s="12" t="inlineStr">
        <is>
          <t>Melt</t>
        </is>
      </c>
      <c r="B11" s="12" t="inlineStr">
        <is>
          <t>1xxx scrap charged</t>
        </is>
      </c>
      <c r="C11" s="12" t="inlineStr">
        <is>
          <t>kg</t>
        </is>
      </c>
      <c r="D11" s="12" t="inlineStr">
        <is>
          <t>≈ 6,802 per 10 t</t>
        </is>
      </c>
      <c r="E11" s="17" t="n"/>
      <c r="F11" s="17" t="n"/>
      <c r="G11" s="17" t="n"/>
      <c r="H11" s="17" t="n"/>
      <c r="I11" s="17" t="n"/>
      <c r="J11" s="17" t="n"/>
      <c r="K11" s="17" t="n"/>
    </row>
    <row r="12">
      <c r="A12" s="12" t="inlineStr">
        <is>
          <t>Melt</t>
        </is>
      </c>
      <c r="B12" s="12" t="inlineStr">
        <is>
          <t>Primary or other Al charged</t>
        </is>
      </c>
      <c r="C12" s="12" t="inlineStr">
        <is>
          <t>kg</t>
        </is>
      </c>
      <c r="D12" s="12" t="inlineStr"/>
      <c r="E12" s="17" t="n"/>
      <c r="F12" s="17" t="n"/>
      <c r="G12" s="17" t="n"/>
      <c r="H12" s="17" t="n"/>
      <c r="I12" s="17" t="n"/>
      <c r="J12" s="17" t="n"/>
      <c r="K12" s="17" t="n"/>
    </row>
    <row r="13">
      <c r="A13" s="12" t="inlineStr">
        <is>
          <t>Melt</t>
        </is>
      </c>
      <c r="B13" s="12" t="inlineStr">
        <is>
          <t>Al-75Fe</t>
        </is>
      </c>
      <c r="C13" s="12" t="inlineStr">
        <is>
          <t>kg</t>
        </is>
      </c>
      <c r="D13" s="12" t="inlineStr">
        <is>
          <t>≈ 28 per 10 t</t>
        </is>
      </c>
      <c r="E13" s="17" t="n"/>
      <c r="F13" s="17" t="n"/>
      <c r="G13" s="17" t="n"/>
      <c r="H13" s="17" t="n"/>
      <c r="I13" s="17" t="n"/>
      <c r="J13" s="17" t="n"/>
      <c r="K13" s="17" t="n"/>
    </row>
    <row r="14">
      <c r="A14" s="12" t="inlineStr">
        <is>
          <t>Melt</t>
        </is>
      </c>
      <c r="B14" s="12" t="inlineStr">
        <is>
          <t>Al-20Mn</t>
        </is>
      </c>
      <c r="C14" s="12" t="inlineStr">
        <is>
          <t>kg</t>
        </is>
      </c>
      <c r="D14" s="12" t="inlineStr">
        <is>
          <t>≈ 51 per 10 t</t>
        </is>
      </c>
      <c r="E14" s="17" t="n"/>
      <c r="F14" s="17" t="n"/>
      <c r="G14" s="17" t="n"/>
      <c r="H14" s="17" t="n"/>
      <c r="I14" s="17" t="n"/>
      <c r="J14" s="17" t="n"/>
      <c r="K14" s="17" t="n"/>
    </row>
    <row r="15">
      <c r="A15" s="12" t="inlineStr">
        <is>
          <t>Melt</t>
        </is>
      </c>
      <c r="B15" s="12" t="inlineStr">
        <is>
          <t>AlTi5B1</t>
        </is>
      </c>
      <c r="C15" s="12" t="inlineStr">
        <is>
          <t>kg</t>
        </is>
      </c>
      <c r="D15" s="12" t="inlineStr">
        <is>
          <t>≈ 10 per 10 t</t>
        </is>
      </c>
      <c r="E15" s="17" t="n"/>
      <c r="F15" s="17" t="n"/>
      <c r="G15" s="17" t="n"/>
      <c r="H15" s="17" t="n"/>
      <c r="I15" s="17" t="n"/>
      <c r="J15" s="17" t="n"/>
      <c r="K15" s="17" t="n"/>
    </row>
    <row r="16">
      <c r="A16" s="12" t="inlineStr">
        <is>
          <t>Melt</t>
        </is>
      </c>
      <c r="B16" s="12" t="inlineStr">
        <is>
          <t>Metal tapped</t>
        </is>
      </c>
      <c r="C16" s="12" t="inlineStr">
        <is>
          <t>kg</t>
        </is>
      </c>
      <c r="D16" s="12" t="inlineStr"/>
      <c r="E16" s="17" t="n"/>
      <c r="F16" s="17" t="n"/>
      <c r="G16" s="17" t="n"/>
      <c r="H16" s="17" t="n"/>
      <c r="I16" s="17" t="n"/>
      <c r="J16" s="17" t="n"/>
      <c r="K16" s="17" t="n"/>
    </row>
    <row r="17">
      <c r="A17" s="12" t="inlineStr">
        <is>
          <t>Melt</t>
        </is>
      </c>
      <c r="B17" s="12" t="inlineStr">
        <is>
          <t>Furnace temperature at tapping</t>
        </is>
      </c>
      <c r="C17" s="12" t="inlineStr">
        <is>
          <t>°C</t>
        </is>
      </c>
      <c r="D17" s="12" t="inlineStr"/>
      <c r="E17" s="17" t="n"/>
      <c r="F17" s="17" t="n"/>
      <c r="G17" s="17" t="n"/>
      <c r="H17" s="17" t="n"/>
      <c r="I17" s="17" t="n"/>
      <c r="J17" s="17" t="n"/>
      <c r="K17" s="17" t="n"/>
    </row>
    <row r="18">
      <c r="A18" s="12" t="inlineStr">
        <is>
          <t>Melt</t>
        </is>
      </c>
      <c r="B18" s="12" t="inlineStr">
        <is>
          <t>Launder / tundish temperature</t>
        </is>
      </c>
      <c r="C18" s="12" t="inlineStr">
        <is>
          <t>°C</t>
        </is>
      </c>
      <c r="D18" s="12" t="inlineStr"/>
      <c r="E18" s="17" t="n"/>
      <c r="F18" s="17" t="n"/>
      <c r="G18" s="17" t="n"/>
      <c r="H18" s="17" t="n"/>
      <c r="I18" s="17" t="n"/>
      <c r="J18" s="17" t="n"/>
      <c r="K18" s="17" t="n"/>
    </row>
    <row r="19">
      <c r="A19" s="12" t="inlineStr">
        <is>
          <t>Melt</t>
        </is>
      </c>
      <c r="B19" s="12" t="inlineStr">
        <is>
          <t>Hydrogen or density index after degassing</t>
        </is>
      </c>
      <c r="C19" s="12" t="inlineStr">
        <is>
          <t>ml/100 g or %</t>
        </is>
      </c>
      <c r="D19" s="12" t="inlineStr"/>
      <c r="E19" s="17" t="n"/>
      <c r="F19" s="17" t="n"/>
      <c r="G19" s="17" t="n"/>
      <c r="H19" s="17" t="n"/>
      <c r="I19" s="17" t="n"/>
      <c r="J19" s="17" t="n"/>
      <c r="K19" s="17" t="n"/>
    </row>
    <row r="20">
      <c r="A20" s="12" t="inlineStr">
        <is>
          <t>Melt</t>
        </is>
      </c>
      <c r="B20" s="12" t="inlineStr">
        <is>
          <t>Grain-refiner rod feed rate</t>
        </is>
      </c>
      <c r="C20" s="12" t="inlineStr">
        <is>
          <t>kg/t</t>
        </is>
      </c>
      <c r="D20" s="12" t="inlineStr"/>
      <c r="E20" s="17" t="n"/>
      <c r="F20" s="17" t="n"/>
      <c r="G20" s="17" t="n"/>
      <c r="H20" s="17" t="n"/>
      <c r="I20" s="17" t="n"/>
      <c r="J20" s="17" t="n"/>
      <c r="K20" s="17" t="n"/>
    </row>
    <row r="21">
      <c r="A21" s="12" t="inlineStr">
        <is>
          <t>Melt</t>
        </is>
      </c>
      <c r="B21" s="12" t="inlineStr">
        <is>
          <t>Refiner contact time before the caster</t>
        </is>
      </c>
      <c r="C21" s="12" t="inlineStr">
        <is>
          <t>min</t>
        </is>
      </c>
      <c r="D21" s="12" t="inlineStr"/>
      <c r="E21" s="17" t="n"/>
      <c r="F21" s="17" t="n"/>
      <c r="G21" s="17" t="n"/>
      <c r="H21" s="17" t="n"/>
      <c r="I21" s="17" t="n"/>
      <c r="J21" s="17" t="n"/>
      <c r="K21" s="17" t="n"/>
    </row>
    <row r="22">
      <c r="A22" s="9" t="inlineStr">
        <is>
          <t>Caster</t>
        </is>
      </c>
      <c r="B22" s="9" t="inlineStr">
        <is>
          <t>Casting speed</t>
        </is>
      </c>
      <c r="C22" s="9" t="inlineStr">
        <is>
          <t>m/min</t>
        </is>
      </c>
      <c r="D22" s="9" t="inlineStr"/>
      <c r="E22" s="17" t="n"/>
      <c r="F22" s="17" t="n"/>
      <c r="G22" s="17" t="n"/>
      <c r="H22" s="17" t="n"/>
      <c r="I22" s="17" t="n"/>
      <c r="J22" s="17" t="n"/>
      <c r="K22" s="17" t="n"/>
    </row>
    <row r="23">
      <c r="A23" s="9" t="inlineStr">
        <is>
          <t>Caster</t>
        </is>
      </c>
      <c r="B23" s="9" t="inlineStr">
        <is>
          <t>Cast strip thickness</t>
        </is>
      </c>
      <c r="C23" s="9" t="inlineStr">
        <is>
          <t>mm</t>
        </is>
      </c>
      <c r="D23" s="9" t="inlineStr">
        <is>
          <t>22</t>
        </is>
      </c>
      <c r="E23" s="17" t="n"/>
      <c r="F23" s="17" t="n"/>
      <c r="G23" s="17" t="n"/>
      <c r="H23" s="17" t="n"/>
      <c r="I23" s="17" t="n"/>
      <c r="J23" s="17" t="n"/>
      <c r="K23" s="17" t="n"/>
    </row>
    <row r="24">
      <c r="A24" s="9" t="inlineStr">
        <is>
          <t>Caster</t>
        </is>
      </c>
      <c r="B24" s="9" t="inlineStr">
        <is>
          <t>Strip width</t>
        </is>
      </c>
      <c r="C24" s="9" t="inlineStr">
        <is>
          <t>mm</t>
        </is>
      </c>
      <c r="D24" s="9" t="inlineStr"/>
      <c r="E24" s="17" t="n"/>
      <c r="F24" s="17" t="n"/>
      <c r="G24" s="17" t="n"/>
      <c r="H24" s="17" t="n"/>
      <c r="I24" s="17" t="n"/>
      <c r="J24" s="17" t="n"/>
      <c r="K24" s="17" t="n"/>
    </row>
    <row r="25">
      <c r="A25" s="9" t="inlineStr">
        <is>
          <t>Caster</t>
        </is>
      </c>
      <c r="B25" s="9" t="inlineStr">
        <is>
          <t>Cooling-water flow</t>
        </is>
      </c>
      <c r="C25" s="9" t="inlineStr">
        <is>
          <t>m³/h</t>
        </is>
      </c>
      <c r="D25" s="9" t="inlineStr"/>
      <c r="E25" s="17" t="n"/>
      <c r="F25" s="17" t="n"/>
      <c r="G25" s="17" t="n"/>
      <c r="H25" s="17" t="n"/>
      <c r="I25" s="17" t="n"/>
      <c r="J25" s="17" t="n"/>
      <c r="K25" s="17" t="n"/>
    </row>
    <row r="26">
      <c r="A26" s="9" t="inlineStr">
        <is>
          <t>Caster</t>
        </is>
      </c>
      <c r="B26" s="9" t="inlineStr">
        <is>
          <t>Cooling-water temperature in</t>
        </is>
      </c>
      <c r="C26" s="9" t="inlineStr">
        <is>
          <t>°C</t>
        </is>
      </c>
      <c r="D26" s="9" t="inlineStr"/>
      <c r="E26" s="17" t="n"/>
      <c r="F26" s="17" t="n"/>
      <c r="G26" s="17" t="n"/>
      <c r="H26" s="17" t="n"/>
      <c r="I26" s="17" t="n"/>
      <c r="J26" s="17" t="n"/>
      <c r="K26" s="17" t="n"/>
    </row>
    <row r="27">
      <c r="A27" s="9" t="inlineStr">
        <is>
          <t>Caster</t>
        </is>
      </c>
      <c r="B27" s="9" t="inlineStr">
        <is>
          <t>Cooling-water temperature out</t>
        </is>
      </c>
      <c r="C27" s="9" t="inlineStr">
        <is>
          <t>°C</t>
        </is>
      </c>
      <c r="D27" s="9" t="inlineStr"/>
      <c r="E27" s="17" t="n"/>
      <c r="F27" s="17" t="n"/>
      <c r="G27" s="17" t="n"/>
      <c r="H27" s="17" t="n"/>
      <c r="I27" s="17" t="n"/>
      <c r="J27" s="17" t="n"/>
      <c r="K27" s="17" t="n"/>
    </row>
    <row r="28">
      <c r="A28" s="9" t="inlineStr">
        <is>
          <t>Caster</t>
        </is>
      </c>
      <c r="B28" s="9" t="inlineStr">
        <is>
          <t>Strip temperature leaving the caster</t>
        </is>
      </c>
      <c r="C28" s="9" t="inlineStr">
        <is>
          <t>°C</t>
        </is>
      </c>
      <c r="D28" s="9" t="inlineStr">
        <is>
          <t>≈ 500</t>
        </is>
      </c>
      <c r="E28" s="17" t="n"/>
      <c r="F28" s="17" t="n"/>
      <c r="G28" s="17" t="n"/>
      <c r="H28" s="17" t="n"/>
      <c r="I28" s="17" t="n"/>
      <c r="J28" s="17" t="n"/>
      <c r="K28" s="17" t="n"/>
    </row>
    <row r="29">
      <c r="A29" s="9" t="inlineStr">
        <is>
          <t>Caster</t>
        </is>
      </c>
      <c r="B29" s="9" t="inlineStr">
        <is>
          <t>Cracks / surface defects</t>
        </is>
      </c>
      <c r="C29" s="9" t="inlineStr">
        <is>
          <t>count per 100 m</t>
        </is>
      </c>
      <c r="D29" s="9" t="inlineStr">
        <is>
          <t>0</t>
        </is>
      </c>
      <c r="E29" s="17" t="n"/>
      <c r="F29" s="17" t="n"/>
      <c r="G29" s="17" t="n"/>
      <c r="H29" s="17" t="n"/>
      <c r="I29" s="17" t="n"/>
      <c r="J29" s="17" t="n"/>
      <c r="K29" s="17" t="n"/>
    </row>
    <row r="30">
      <c r="A30" s="12" t="inlineStr">
        <is>
          <t>Hot mill</t>
        </is>
      </c>
      <c r="B30" s="12" t="inlineStr">
        <is>
          <t>Hot-band thickness</t>
        </is>
      </c>
      <c r="C30" s="12" t="inlineStr">
        <is>
          <t>mm</t>
        </is>
      </c>
      <c r="D30" s="12" t="inlineStr">
        <is>
          <t>≤ 11 at ≥ 50 % reduction</t>
        </is>
      </c>
      <c r="E30" s="17" t="n"/>
      <c r="F30" s="17" t="n"/>
      <c r="G30" s="17" t="n"/>
      <c r="H30" s="17" t="n"/>
      <c r="I30" s="17" t="n"/>
      <c r="J30" s="17" t="n"/>
      <c r="K30" s="17" t="n"/>
    </row>
    <row r="31">
      <c r="A31" s="12" t="inlineStr">
        <is>
          <t>Hot mill</t>
        </is>
      </c>
      <c r="B31" s="12" t="inlineStr">
        <is>
          <t>Hot reduction</t>
        </is>
      </c>
      <c r="C31" s="12" t="inlineStr">
        <is>
          <t>%</t>
        </is>
      </c>
      <c r="D31" s="12" t="inlineStr">
        <is>
          <t>≥ 50 % (current rule)</t>
        </is>
      </c>
      <c r="E31" s="21">
        <f>IF(AND(ISNUMBER(E23),ISNUMBER(E30),N(E23)&gt;0),1-E30/E23,"")</f>
        <v/>
      </c>
      <c r="F31" s="21">
        <f>IF(AND(ISNUMBER(F23),ISNUMBER(F30),N(F23)&gt;0),1-F30/F23,"")</f>
        <v/>
      </c>
      <c r="G31" s="21">
        <f>IF(AND(ISNUMBER(G23),ISNUMBER(G30),N(G23)&gt;0),1-G30/G23,"")</f>
        <v/>
      </c>
      <c r="H31" s="21">
        <f>IF(AND(ISNUMBER(H23),ISNUMBER(H30),N(H23)&gt;0),1-H30/H23,"")</f>
        <v/>
      </c>
      <c r="I31" s="21">
        <f>IF(AND(ISNUMBER(I23),ISNUMBER(I30),N(I23)&gt;0),1-I30/I23,"")</f>
        <v/>
      </c>
      <c r="J31" s="21">
        <f>IF(AND(ISNUMBER(J23),ISNUMBER(J30),N(J23)&gt;0),1-J30/J23,"")</f>
        <v/>
      </c>
      <c r="K31" s="17" t="n"/>
    </row>
    <row r="32">
      <c r="A32" s="12" t="inlineStr">
        <is>
          <t>Hot mill</t>
        </is>
      </c>
      <c r="B32" s="12" t="inlineStr">
        <is>
          <t>Hot true strain ε_hot</t>
        </is>
      </c>
      <c r="C32" s="12" t="inlineStr">
        <is>
          <t>–</t>
        </is>
      </c>
      <c r="D32" s="12" t="inlineStr"/>
      <c r="E32" s="19">
        <f>IF(AND(ISNUMBER(E23),ISNUMBER(E30),N(E30)&gt;0),LN(E23/E30),"")</f>
        <v/>
      </c>
      <c r="F32" s="19">
        <f>IF(AND(ISNUMBER(F23),ISNUMBER(F30),N(F30)&gt;0),LN(F23/F30),"")</f>
        <v/>
      </c>
      <c r="G32" s="19">
        <f>IF(AND(ISNUMBER(G23),ISNUMBER(G30),N(G30)&gt;0),LN(G23/G30),"")</f>
        <v/>
      </c>
      <c r="H32" s="19">
        <f>IF(AND(ISNUMBER(H23),ISNUMBER(H30),N(H30)&gt;0),LN(H23/H30),"")</f>
        <v/>
      </c>
      <c r="I32" s="19">
        <f>IF(AND(ISNUMBER(I23),ISNUMBER(I30),N(I30)&gt;0),LN(I23/I30),"")</f>
        <v/>
      </c>
      <c r="J32" s="19">
        <f>IF(AND(ISNUMBER(J23),ISNUMBER(J30),N(J30)&gt;0),LN(J23/J30),"")</f>
        <v/>
      </c>
      <c r="K32" s="17" t="n"/>
    </row>
    <row r="33">
      <c r="A33" s="12" t="inlineStr">
        <is>
          <t>Hot mill</t>
        </is>
      </c>
      <c r="B33" s="12" t="inlineStr">
        <is>
          <t>Mill entry temperature</t>
        </is>
      </c>
      <c r="C33" s="12" t="inlineStr">
        <is>
          <t>°C</t>
        </is>
      </c>
      <c r="D33" s="12" t="inlineStr">
        <is>
          <t>≈ 500</t>
        </is>
      </c>
      <c r="E33" s="17" t="n"/>
      <c r="F33" s="17" t="n"/>
      <c r="G33" s="17" t="n"/>
      <c r="H33" s="17" t="n"/>
      <c r="I33" s="17" t="n"/>
      <c r="J33" s="17" t="n"/>
      <c r="K33" s="17" t="n"/>
    </row>
    <row r="34">
      <c r="A34" s="12" t="inlineStr">
        <is>
          <t>Hot mill</t>
        </is>
      </c>
      <c r="B34" s="12" t="inlineStr">
        <is>
          <t>Mill exit temperature</t>
        </is>
      </c>
      <c r="C34" s="12" t="inlineStr">
        <is>
          <t>°C</t>
        </is>
      </c>
      <c r="D34" s="12" t="inlineStr">
        <is>
          <t>≈ 380</t>
        </is>
      </c>
      <c r="E34" s="17" t="n"/>
      <c r="F34" s="17" t="n"/>
      <c r="G34" s="17" t="n"/>
      <c r="H34" s="17" t="n"/>
      <c r="I34" s="17" t="n"/>
      <c r="J34" s="17" t="n"/>
      <c r="K34" s="17" t="n"/>
    </row>
    <row r="35">
      <c r="A35" s="12" t="inlineStr">
        <is>
          <t>Hot mill</t>
        </is>
      </c>
      <c r="B35" s="12" t="inlineStr">
        <is>
          <t>Exit speed</t>
        </is>
      </c>
      <c r="C35" s="12" t="inlineStr">
        <is>
          <t>m/min</t>
        </is>
      </c>
      <c r="D35" s="12" t="inlineStr"/>
      <c r="E35" s="17" t="n"/>
      <c r="F35" s="17" t="n"/>
      <c r="G35" s="17" t="n"/>
      <c r="H35" s="17" t="n"/>
      <c r="I35" s="17" t="n"/>
      <c r="J35" s="17" t="n"/>
      <c r="K35" s="17" t="n"/>
    </row>
    <row r="36">
      <c r="A36" s="12" t="inlineStr">
        <is>
          <t>Hot mill</t>
        </is>
      </c>
      <c r="B36" s="12" t="inlineStr">
        <is>
          <t>Rolling force</t>
        </is>
      </c>
      <c r="C36" s="12" t="inlineStr">
        <is>
          <t>kN</t>
        </is>
      </c>
      <c r="D36" s="12" t="inlineStr"/>
      <c r="E36" s="17" t="n"/>
      <c r="F36" s="17" t="n"/>
      <c r="G36" s="17" t="n"/>
      <c r="H36" s="17" t="n"/>
      <c r="I36" s="17" t="n"/>
      <c r="J36" s="17" t="n"/>
      <c r="K36" s="17" t="n"/>
    </row>
    <row r="37">
      <c r="A37" s="12" t="inlineStr">
        <is>
          <t>Hot mill</t>
        </is>
      </c>
      <c r="B37" s="12" t="inlineStr">
        <is>
          <t>Time caster → mill</t>
        </is>
      </c>
      <c r="C37" s="12" t="inlineStr">
        <is>
          <t>s</t>
        </is>
      </c>
      <c r="D37" s="12" t="inlineStr"/>
      <c r="E37" s="17" t="n"/>
      <c r="F37" s="17" t="n"/>
      <c r="G37" s="17" t="n"/>
      <c r="H37" s="17" t="n"/>
      <c r="I37" s="17" t="n"/>
      <c r="J37" s="17" t="n"/>
      <c r="K37" s="17" t="n"/>
    </row>
    <row r="38">
      <c r="A38" s="12" t="inlineStr">
        <is>
          <t>Hot mill</t>
        </is>
      </c>
      <c r="B38" s="12" t="inlineStr">
        <is>
          <t>Time mill → bath</t>
        </is>
      </c>
      <c r="C38" s="12" t="inlineStr">
        <is>
          <t>s</t>
        </is>
      </c>
      <c r="D38" s="12" t="inlineStr"/>
      <c r="E38" s="17" t="n"/>
      <c r="F38" s="17" t="n"/>
      <c r="G38" s="17" t="n"/>
      <c r="H38" s="17" t="n"/>
      <c r="I38" s="17" t="n"/>
      <c r="J38" s="17" t="n"/>
      <c r="K38" s="17" t="n"/>
    </row>
    <row r="39">
      <c r="A39" s="9" t="inlineStr">
        <is>
          <t>Bath</t>
        </is>
      </c>
      <c r="B39" s="9" t="inlineStr">
        <is>
          <t>Bath water temperature</t>
        </is>
      </c>
      <c r="C39" s="9" t="inlineStr">
        <is>
          <t>°C</t>
        </is>
      </c>
      <c r="D39" s="9" t="inlineStr"/>
      <c r="E39" s="17" t="n"/>
      <c r="F39" s="17" t="n"/>
      <c r="G39" s="17" t="n"/>
      <c r="H39" s="17" t="n"/>
      <c r="I39" s="17" t="n"/>
      <c r="J39" s="17" t="n"/>
      <c r="K39" s="17" t="n"/>
    </row>
    <row r="40">
      <c r="A40" s="9" t="inlineStr">
        <is>
          <t>Bath</t>
        </is>
      </c>
      <c r="B40" s="9" t="inlineStr">
        <is>
          <t>Strip temperature after the bath</t>
        </is>
      </c>
      <c r="C40" s="9" t="inlineStr">
        <is>
          <t>°C</t>
        </is>
      </c>
      <c r="D40" s="9" t="inlineStr"/>
      <c r="E40" s="17" t="n"/>
      <c r="F40" s="17" t="n"/>
      <c r="G40" s="17" t="n"/>
      <c r="H40" s="17" t="n"/>
      <c r="I40" s="17" t="n"/>
      <c r="J40" s="17" t="n"/>
      <c r="K40" s="17" t="n"/>
    </row>
    <row r="41">
      <c r="A41" s="9" t="inlineStr">
        <is>
          <t>Bath</t>
        </is>
      </c>
      <c r="B41" s="9" t="inlineStr">
        <is>
          <t>Storage time before cold rolling</t>
        </is>
      </c>
      <c r="C41" s="9" t="inlineStr">
        <is>
          <t>h</t>
        </is>
      </c>
      <c r="D41" s="9" t="inlineStr"/>
      <c r="E41" s="17" t="n"/>
      <c r="F41" s="17" t="n"/>
      <c r="G41" s="17" t="n"/>
      <c r="H41" s="17" t="n"/>
      <c r="I41" s="17" t="n"/>
      <c r="J41" s="17" t="n"/>
      <c r="K41" s="17" t="n"/>
    </row>
    <row r="42">
      <c r="A42" s="12" t="inlineStr">
        <is>
          <t>Cold mill</t>
        </is>
      </c>
      <c r="B42" s="12" t="inlineStr">
        <is>
          <t>Number of passes</t>
        </is>
      </c>
      <c r="C42" s="12" t="inlineStr">
        <is>
          <t>–</t>
        </is>
      </c>
      <c r="D42" s="12" t="inlineStr"/>
      <c r="E42" s="17" t="n"/>
      <c r="F42" s="17" t="n"/>
      <c r="G42" s="17" t="n"/>
      <c r="H42" s="17" t="n"/>
      <c r="I42" s="17" t="n"/>
      <c r="J42" s="17" t="n"/>
      <c r="K42" s="17" t="n"/>
    </row>
    <row r="43">
      <c r="A43" s="12" t="inlineStr">
        <is>
          <t>Cold mill</t>
        </is>
      </c>
      <c r="B43" s="12" t="inlineStr">
        <is>
          <t>Final (slug) thickness</t>
        </is>
      </c>
      <c r="C43" s="12" t="inlineStr">
        <is>
          <t>mm</t>
        </is>
      </c>
      <c r="D43" s="12" t="inlineStr">
        <is>
          <t>6.1–7.4</t>
        </is>
      </c>
      <c r="E43" s="17" t="n"/>
      <c r="F43" s="17" t="n"/>
      <c r="G43" s="17" t="n"/>
      <c r="H43" s="17" t="n"/>
      <c r="I43" s="17" t="n"/>
      <c r="J43" s="17" t="n"/>
      <c r="K43" s="17" t="n"/>
    </row>
    <row r="44">
      <c r="A44" s="12" t="inlineStr">
        <is>
          <t>Cold mill</t>
        </is>
      </c>
      <c r="B44" s="12" t="inlineStr">
        <is>
          <t>Cold reduction</t>
        </is>
      </c>
      <c r="C44" s="12" t="inlineStr">
        <is>
          <t>%</t>
        </is>
      </c>
      <c r="D44" s="12" t="inlineStr">
        <is>
          <t>30–50 % (plant)</t>
        </is>
      </c>
      <c r="E44" s="21">
        <f>IF(AND(ISNUMBER(E30),ISNUMBER(E43),N(E30)&gt;0),1-E43/E30,"")</f>
        <v/>
      </c>
      <c r="F44" s="21">
        <f>IF(AND(ISNUMBER(F30),ISNUMBER(F43),N(F30)&gt;0),1-F43/F30,"")</f>
        <v/>
      </c>
      <c r="G44" s="21">
        <f>IF(AND(ISNUMBER(G30),ISNUMBER(G43),N(G30)&gt;0),1-G43/G30,"")</f>
        <v/>
      </c>
      <c r="H44" s="21">
        <f>IF(AND(ISNUMBER(H30),ISNUMBER(H43),N(H30)&gt;0),1-H43/H30,"")</f>
        <v/>
      </c>
      <c r="I44" s="21">
        <f>IF(AND(ISNUMBER(I30),ISNUMBER(I43),N(I30)&gt;0),1-I43/I30,"")</f>
        <v/>
      </c>
      <c r="J44" s="21">
        <f>IF(AND(ISNUMBER(J30),ISNUMBER(J43),N(J30)&gt;0),1-J43/J30,"")</f>
        <v/>
      </c>
      <c r="K44" s="17" t="n"/>
    </row>
    <row r="45" ht="30" customHeight="1">
      <c r="A45" s="12" t="inlineStr">
        <is>
          <t>Cold mill</t>
        </is>
      </c>
      <c r="B45" s="12" t="inlineStr">
        <is>
          <t>Cold true strain ε_cold</t>
        </is>
      </c>
      <c r="C45" s="12" t="inlineStr">
        <is>
          <t>–</t>
        </is>
      </c>
      <c r="D45" s="12" t="inlineStr">
        <is>
          <t>0.36–0.69 plant; 0.85–0.90 KB target</t>
        </is>
      </c>
      <c r="E45" s="19">
        <f>IF(AND(ISNUMBER(E30),ISNUMBER(E43),N(E43)&gt;0),LN(E30/E43),"")</f>
        <v/>
      </c>
      <c r="F45" s="19">
        <f>IF(AND(ISNUMBER(F30),ISNUMBER(F43),N(F43)&gt;0),LN(F30/F43),"")</f>
        <v/>
      </c>
      <c r="G45" s="19">
        <f>IF(AND(ISNUMBER(G30),ISNUMBER(G43),N(G43)&gt;0),LN(G30/G43),"")</f>
        <v/>
      </c>
      <c r="H45" s="19">
        <f>IF(AND(ISNUMBER(H30),ISNUMBER(H43),N(H43)&gt;0),LN(H30/H43),"")</f>
        <v/>
      </c>
      <c r="I45" s="19">
        <f>IF(AND(ISNUMBER(I30),ISNUMBER(I43),N(I43)&gt;0),LN(I30/I43),"")</f>
        <v/>
      </c>
      <c r="J45" s="19">
        <f>IF(AND(ISNUMBER(J30),ISNUMBER(J43),N(J43)&gt;0),LN(J30/J43),"")</f>
        <v/>
      </c>
      <c r="K45" s="17" t="n"/>
    </row>
    <row r="46">
      <c r="A46" s="12" t="inlineStr">
        <is>
          <t>Cold mill</t>
        </is>
      </c>
      <c r="B46" s="12" t="inlineStr">
        <is>
          <t>Rolling force, last pass</t>
        </is>
      </c>
      <c r="C46" s="12" t="inlineStr">
        <is>
          <t>kN</t>
        </is>
      </c>
      <c r="D46" s="12" t="inlineStr"/>
      <c r="E46" s="17" t="n"/>
      <c r="F46" s="17" t="n"/>
      <c r="G46" s="17" t="n"/>
      <c r="H46" s="17" t="n"/>
      <c r="I46" s="17" t="n"/>
      <c r="J46" s="17" t="n"/>
      <c r="K46" s="17" t="n"/>
    </row>
    <row r="47">
      <c r="A47" s="12" t="inlineStr">
        <is>
          <t>Cold mill</t>
        </is>
      </c>
      <c r="B47" s="12" t="inlineStr">
        <is>
          <t>Strip temperature after the last pass</t>
        </is>
      </c>
      <c r="C47" s="12" t="inlineStr">
        <is>
          <t>°C</t>
        </is>
      </c>
      <c r="D47" s="12" t="inlineStr"/>
      <c r="E47" s="17" t="n"/>
      <c r="F47" s="17" t="n"/>
      <c r="G47" s="17" t="n"/>
      <c r="H47" s="17" t="n"/>
      <c r="I47" s="17" t="n"/>
      <c r="J47" s="17" t="n"/>
      <c r="K47" s="17" t="n"/>
    </row>
    <row r="48">
      <c r="A48" s="9" t="inlineStr">
        <is>
          <t>Slugs</t>
        </is>
      </c>
      <c r="B48" s="9" t="inlineStr">
        <is>
          <t>Slug diameter</t>
        </is>
      </c>
      <c r="C48" s="9" t="inlineStr">
        <is>
          <t>mm</t>
        </is>
      </c>
      <c r="D48" s="9" t="inlineStr"/>
      <c r="E48" s="17" t="n"/>
      <c r="F48" s="17" t="n"/>
      <c r="G48" s="17" t="n"/>
      <c r="H48" s="17" t="n"/>
      <c r="I48" s="17" t="n"/>
      <c r="J48" s="17" t="n"/>
      <c r="K48" s="17" t="n"/>
    </row>
    <row r="49">
      <c r="A49" s="9" t="inlineStr">
        <is>
          <t>Slugs</t>
        </is>
      </c>
      <c r="B49" s="9" t="inlineStr">
        <is>
          <t>Slug thickness (measured)</t>
        </is>
      </c>
      <c r="C49" s="9" t="inlineStr">
        <is>
          <t>mm</t>
        </is>
      </c>
      <c r="D49" s="9" t="inlineStr"/>
      <c r="E49" s="17" t="n"/>
      <c r="F49" s="17" t="n"/>
      <c r="G49" s="17" t="n"/>
      <c r="H49" s="17" t="n"/>
      <c r="I49" s="17" t="n"/>
      <c r="J49" s="17" t="n"/>
      <c r="K49" s="17" t="n"/>
    </row>
    <row r="50">
      <c r="A50" s="9" t="inlineStr">
        <is>
          <t>Slugs</t>
        </is>
      </c>
      <c r="B50" s="9" t="inlineStr">
        <is>
          <t>Slug mass</t>
        </is>
      </c>
      <c r="C50" s="9" t="inlineStr">
        <is>
          <t>g</t>
        </is>
      </c>
      <c r="D50" s="9" t="inlineStr"/>
      <c r="E50" s="17" t="n"/>
      <c r="F50" s="17" t="n"/>
      <c r="G50" s="17" t="n"/>
      <c r="H50" s="17" t="n"/>
      <c r="I50" s="17" t="n"/>
      <c r="J50" s="17" t="n"/>
      <c r="K50" s="17" t="n"/>
    </row>
    <row r="51">
      <c r="A51" s="12" t="inlineStr">
        <is>
          <t>Anneal</t>
        </is>
      </c>
      <c r="B51" s="12" t="inlineStr">
        <is>
          <t>Furnace ID / type</t>
        </is>
      </c>
      <c r="C51" s="12" t="inlineStr">
        <is>
          <t>text</t>
        </is>
      </c>
      <c r="D51" s="12" t="inlineStr"/>
      <c r="E51" s="17" t="n"/>
      <c r="F51" s="17" t="n"/>
      <c r="G51" s="17" t="n"/>
      <c r="H51" s="17" t="n"/>
      <c r="I51" s="17" t="n"/>
      <c r="J51" s="17" t="n"/>
      <c r="K51" s="17" t="n"/>
    </row>
    <row r="52">
      <c r="A52" s="12" t="inlineStr">
        <is>
          <t>Anneal</t>
        </is>
      </c>
      <c r="B52" s="12" t="inlineStr">
        <is>
          <t>Load mass</t>
        </is>
      </c>
      <c r="C52" s="12" t="inlineStr">
        <is>
          <t>kg</t>
        </is>
      </c>
      <c r="D52" s="12" t="inlineStr"/>
      <c r="E52" s="17" t="n"/>
      <c r="F52" s="17" t="n"/>
      <c r="G52" s="17" t="n"/>
      <c r="H52" s="17" t="n"/>
      <c r="I52" s="17" t="n"/>
      <c r="J52" s="17" t="n"/>
      <c r="K52" s="17" t="n"/>
    </row>
    <row r="53">
      <c r="A53" s="12" t="inlineStr">
        <is>
          <t>Anneal</t>
        </is>
      </c>
      <c r="B53" s="12" t="inlineStr">
        <is>
          <t>Atmosphere</t>
        </is>
      </c>
      <c r="C53" s="12" t="inlineStr">
        <is>
          <t>air / N₂</t>
        </is>
      </c>
      <c r="D53" s="12" t="inlineStr"/>
      <c r="E53" s="17" t="n"/>
      <c r="F53" s="17" t="n"/>
      <c r="G53" s="17" t="n"/>
      <c r="H53" s="17" t="n"/>
      <c r="I53" s="17" t="n"/>
      <c r="J53" s="17" t="n"/>
      <c r="K53" s="17" t="n"/>
    </row>
    <row r="54">
      <c r="A54" s="12" t="inlineStr">
        <is>
          <t>Anneal</t>
        </is>
      </c>
      <c r="B54" s="12" t="inlineStr">
        <is>
          <t>Dew point or O₂ (N₂ only)</t>
        </is>
      </c>
      <c r="C54" s="12" t="inlineStr">
        <is>
          <t>°C / ppm</t>
        </is>
      </c>
      <c r="D54" s="12" t="inlineStr">
        <is>
          <t>O₂ &lt; a few hundred ppm</t>
        </is>
      </c>
      <c r="E54" s="17" t="n"/>
      <c r="F54" s="17" t="n"/>
      <c r="G54" s="17" t="n"/>
      <c r="H54" s="17" t="n"/>
      <c r="I54" s="17" t="n"/>
      <c r="J54" s="17" t="n"/>
      <c r="K54" s="17" t="n"/>
    </row>
    <row r="55">
      <c r="A55" s="12" t="inlineStr">
        <is>
          <t>Anneal</t>
        </is>
      </c>
      <c r="B55" s="12" t="inlineStr">
        <is>
          <t>Time to soak, coldest thermocouple</t>
        </is>
      </c>
      <c r="C55" s="12" t="inlineStr">
        <is>
          <t>min</t>
        </is>
      </c>
      <c r="D55" s="12" t="inlineStr"/>
      <c r="E55" s="17" t="n"/>
      <c r="F55" s="17" t="n"/>
      <c r="G55" s="17" t="n"/>
      <c r="H55" s="17" t="n"/>
      <c r="I55" s="17" t="n"/>
      <c r="J55" s="17" t="n"/>
      <c r="K55" s="17" t="n"/>
    </row>
    <row r="56">
      <c r="A56" s="12" t="inlineStr">
        <is>
          <t>Anneal</t>
        </is>
      </c>
      <c r="B56" s="12" t="inlineStr">
        <is>
          <t>Soak temperature, slug thermocouple</t>
        </is>
      </c>
      <c r="C56" s="12" t="inlineStr">
        <is>
          <t>°C</t>
        </is>
      </c>
      <c r="D56" s="12" t="inlineStr"/>
      <c r="E56" s="17" t="n"/>
      <c r="F56" s="17" t="n"/>
      <c r="G56" s="17" t="n"/>
      <c r="H56" s="17" t="n"/>
      <c r="I56" s="17" t="n"/>
      <c r="J56" s="17" t="n"/>
      <c r="K56" s="17" t="n"/>
    </row>
    <row r="57">
      <c r="A57" s="12" t="inlineStr">
        <is>
          <t>Anneal</t>
        </is>
      </c>
      <c r="B57" s="12" t="inlineStr">
        <is>
          <t>Soak time</t>
        </is>
      </c>
      <c r="C57" s="12" t="inlineStr">
        <is>
          <t>min</t>
        </is>
      </c>
      <c r="D57" s="12" t="inlineStr"/>
      <c r="E57" s="17" t="n"/>
      <c r="F57" s="17" t="n"/>
      <c r="G57" s="17" t="n"/>
      <c r="H57" s="17" t="n"/>
      <c r="I57" s="17" t="n"/>
      <c r="J57" s="17" t="n"/>
      <c r="K57" s="17" t="n"/>
    </row>
    <row r="58">
      <c r="A58" s="12" t="inlineStr">
        <is>
          <t>Anneal</t>
        </is>
      </c>
      <c r="B58" s="12" t="inlineStr">
        <is>
          <t>Average heating rate</t>
        </is>
      </c>
      <c r="C58" s="12" t="inlineStr">
        <is>
          <t>°C/min</t>
        </is>
      </c>
      <c r="D58" s="12" t="inlineStr">
        <is>
          <t>calculated</t>
        </is>
      </c>
      <c r="E58" s="22">
        <f>IF(AND(ISNUMBER(E56),ISNUMBER(E55),N(E55)&gt;0),(E56-20)/E55,"")</f>
        <v/>
      </c>
      <c r="F58" s="22">
        <f>IF(AND(ISNUMBER(F56),ISNUMBER(F55),N(F55)&gt;0),(F56-20)/F55,"")</f>
        <v/>
      </c>
      <c r="G58" s="22">
        <f>IF(AND(ISNUMBER(G56),ISNUMBER(G55),N(G55)&gt;0),(G56-20)/G55,"")</f>
        <v/>
      </c>
      <c r="H58" s="22">
        <f>IF(AND(ISNUMBER(H56),ISNUMBER(H55),N(H55)&gt;0),(H56-20)/H55,"")</f>
        <v/>
      </c>
      <c r="I58" s="22">
        <f>IF(AND(ISNUMBER(I56),ISNUMBER(I55),N(I55)&gt;0),(I56-20)/I55,"")</f>
        <v/>
      </c>
      <c r="J58" s="22">
        <f>IF(AND(ISNUMBER(J56),ISNUMBER(J55),N(J55)&gt;0),(J56-20)/J55,"")</f>
        <v/>
      </c>
      <c r="K58" s="17" t="n"/>
    </row>
    <row r="59">
      <c r="A59" s="12" t="inlineStr">
        <is>
          <t>Anneal</t>
        </is>
      </c>
      <c r="B59" s="12" t="inlineStr">
        <is>
          <t>Cooling method</t>
        </is>
      </c>
      <c r="C59" s="12" t="inlineStr">
        <is>
          <t>text</t>
        </is>
      </c>
      <c r="D59" s="12" t="inlineStr">
        <is>
          <t>furnace / forced air</t>
        </is>
      </c>
      <c r="E59" s="17" t="n"/>
      <c r="F59" s="17" t="n"/>
      <c r="G59" s="17" t="n"/>
      <c r="H59" s="17" t="n"/>
      <c r="I59" s="17" t="n"/>
      <c r="J59" s="17" t="n"/>
      <c r="K59" s="17" t="n"/>
    </row>
    <row r="60">
      <c r="A60" s="12" t="inlineStr">
        <is>
          <t>Anneal</t>
        </is>
      </c>
      <c r="B60" s="12" t="inlineStr">
        <is>
          <t>Cooling time, soak → 100 °C</t>
        </is>
      </c>
      <c r="C60" s="12" t="inlineStr">
        <is>
          <t>min</t>
        </is>
      </c>
      <c r="D60" s="12" t="inlineStr"/>
      <c r="E60" s="17" t="n"/>
      <c r="F60" s="17" t="n"/>
      <c r="G60" s="17" t="n"/>
      <c r="H60" s="17" t="n"/>
      <c r="I60" s="17" t="n"/>
      <c r="J60" s="17" t="n"/>
      <c r="K60" s="17" t="n"/>
    </row>
    <row r="61">
      <c r="A61" s="12" t="inlineStr">
        <is>
          <t>Anneal</t>
        </is>
      </c>
      <c r="B61" s="12" t="inlineStr">
        <is>
          <t>Anneal end (date and time)</t>
        </is>
      </c>
      <c r="C61" s="12" t="inlineStr">
        <is>
          <t>date</t>
        </is>
      </c>
      <c r="D61" s="12" t="inlineStr"/>
      <c r="E61" s="20" t="n"/>
      <c r="F61" s="20" t="n"/>
      <c r="G61" s="20" t="n"/>
      <c r="H61" s="20" t="n"/>
      <c r="I61" s="20" t="n"/>
      <c r="J61" s="20" t="n"/>
      <c r="K61" s="17" t="n"/>
    </row>
    <row r="62">
      <c r="A62" s="12" t="inlineStr">
        <is>
          <t>Anneal</t>
        </is>
      </c>
      <c r="B62" s="12" t="inlineStr">
        <is>
          <t>Temperature–time log file name</t>
        </is>
      </c>
      <c r="C62" s="12" t="inlineStr">
        <is>
          <t>text</t>
        </is>
      </c>
      <c r="D62" s="12" t="inlineStr"/>
      <c r="E62" s="17" t="n"/>
      <c r="F62" s="17" t="n"/>
      <c r="G62" s="17" t="n"/>
      <c r="H62" s="17" t="n"/>
      <c r="I62" s="17" t="n"/>
      <c r="J62" s="17" t="n"/>
      <c r="K62" s="17" t="n"/>
    </row>
    <row r="63">
      <c r="A63" s="9" t="inlineStr">
        <is>
          <t>Press</t>
        </is>
      </c>
      <c r="B63" s="9" t="inlineStr">
        <is>
          <t>Press ID / tool set</t>
        </is>
      </c>
      <c r="C63" s="9" t="inlineStr">
        <is>
          <t>text</t>
        </is>
      </c>
      <c r="D63" s="9" t="inlineStr"/>
      <c r="E63" s="17" t="n"/>
      <c r="F63" s="17" t="n"/>
      <c r="G63" s="17" t="n"/>
      <c r="H63" s="17" t="n"/>
      <c r="I63" s="17" t="n"/>
      <c r="J63" s="17" t="n"/>
      <c r="K63" s="17" t="n"/>
    </row>
    <row r="64">
      <c r="A64" s="9" t="inlineStr">
        <is>
          <t>Press</t>
        </is>
      </c>
      <c r="B64" s="9" t="inlineStr">
        <is>
          <t>Strokes per minute</t>
        </is>
      </c>
      <c r="C64" s="9" t="inlineStr">
        <is>
          <t>1/min</t>
        </is>
      </c>
      <c r="D64" s="9" t="inlineStr"/>
      <c r="E64" s="17" t="n"/>
      <c r="F64" s="17" t="n"/>
      <c r="G64" s="17" t="n"/>
      <c r="H64" s="17" t="n"/>
      <c r="I64" s="17" t="n"/>
      <c r="J64" s="17" t="n"/>
      <c r="K64" s="17" t="n"/>
    </row>
    <row r="65">
      <c r="A65" s="9" t="inlineStr">
        <is>
          <t>Press</t>
        </is>
      </c>
      <c r="B65" s="9" t="inlineStr">
        <is>
          <t>Lubricant type</t>
        </is>
      </c>
      <c r="C65" s="9" t="inlineStr">
        <is>
          <t>text</t>
        </is>
      </c>
      <c r="D65" s="9" t="inlineStr"/>
      <c r="E65" s="17" t="n"/>
      <c r="F65" s="17" t="n"/>
      <c r="G65" s="17" t="n"/>
      <c r="H65" s="17" t="n"/>
      <c r="I65" s="17" t="n"/>
      <c r="J65" s="17" t="n"/>
      <c r="K65" s="17" t="n"/>
    </row>
    <row r="66">
      <c r="A66" s="9" t="inlineStr">
        <is>
          <t>Press</t>
        </is>
      </c>
      <c r="B66" s="9" t="inlineStr">
        <is>
          <t>Lubricant amount</t>
        </is>
      </c>
      <c r="C66" s="9" t="inlineStr">
        <is>
          <t>g per 1000 slugs</t>
        </is>
      </c>
      <c r="D66" s="9" t="inlineStr"/>
      <c r="E66" s="17" t="n"/>
      <c r="F66" s="17" t="n"/>
      <c r="G66" s="17" t="n"/>
      <c r="H66" s="17" t="n"/>
      <c r="I66" s="17" t="n"/>
      <c r="J66" s="17" t="n"/>
      <c r="K66" s="17" t="n"/>
    </row>
    <row r="67">
      <c r="A67" s="9" t="inlineStr">
        <is>
          <t>Press</t>
        </is>
      </c>
      <c r="B67" s="9" t="inlineStr">
        <is>
          <t>Extrusion date and time</t>
        </is>
      </c>
      <c r="C67" s="9" t="inlineStr">
        <is>
          <t>date</t>
        </is>
      </c>
      <c r="D67" s="9" t="inlineStr"/>
      <c r="E67" s="20" t="n"/>
      <c r="F67" s="20" t="n"/>
      <c r="G67" s="20" t="n"/>
      <c r="H67" s="20" t="n"/>
      <c r="I67" s="20" t="n"/>
      <c r="J67" s="20" t="n"/>
      <c r="K67" s="17" t="n"/>
    </row>
    <row r="68">
      <c r="A68" s="9" t="inlineStr">
        <is>
          <t>Press</t>
        </is>
      </c>
      <c r="B68" s="9" t="inlineStr">
        <is>
          <t>Slug age at extrusion</t>
        </is>
      </c>
      <c r="C68" s="9" t="inlineStr">
        <is>
          <t>days</t>
        </is>
      </c>
      <c r="D68" s="9" t="inlineStr">
        <is>
          <t>calculated</t>
        </is>
      </c>
      <c r="E68" s="22">
        <f>IF(AND(ISNUMBER(E61),ISNUMBER(E67)),E67-E61,"")</f>
        <v/>
      </c>
      <c r="F68" s="22">
        <f>IF(AND(ISNUMBER(F61),ISNUMBER(F67)),F67-F61,"")</f>
        <v/>
      </c>
      <c r="G68" s="22">
        <f>IF(AND(ISNUMBER(G61),ISNUMBER(G67)),G67-G61,"")</f>
        <v/>
      </c>
      <c r="H68" s="22">
        <f>IF(AND(ISNUMBER(H61),ISNUMBER(H67)),H67-H61,"")</f>
        <v/>
      </c>
      <c r="I68" s="22">
        <f>IF(AND(ISNUMBER(I61),ISNUMBER(I67)),I67-I61,"")</f>
        <v/>
      </c>
      <c r="J68" s="22">
        <f>IF(AND(ISNUMBER(J61),ISNUMBER(J67)),J67-J61,"")</f>
        <v/>
      </c>
      <c r="K68" s="17" t="n"/>
    </row>
    <row r="69">
      <c r="A69" s="9" t="inlineStr">
        <is>
          <t>Press</t>
        </is>
      </c>
      <c r="B69" s="9" t="inlineStr">
        <is>
          <t>Bake date and time (220 °C / 10 min)</t>
        </is>
      </c>
      <c r="C69" s="9" t="inlineStr">
        <is>
          <t>date</t>
        </is>
      </c>
      <c r="D69" s="9" t="inlineStr"/>
      <c r="E69" s="20" t="n"/>
      <c r="F69" s="20" t="n"/>
      <c r="G69" s="20" t="n"/>
      <c r="H69" s="20" t="n"/>
      <c r="I69" s="20" t="n"/>
      <c r="J69" s="20" t="n"/>
      <c r="K69" s="17" t="n"/>
    </row>
    <row r="70">
      <c r="A70" s="12" t="inlineStr">
        <is>
          <t>Events</t>
        </is>
      </c>
      <c r="B70" s="12" t="inlineStr">
        <is>
          <t>Events and deviations (with clock time)</t>
        </is>
      </c>
      <c r="C70" s="12" t="inlineStr">
        <is>
          <t>text</t>
        </is>
      </c>
      <c r="D70" s="12" t="inlineStr"/>
      <c r="E70" s="17" t="n"/>
      <c r="F70" s="17" t="n"/>
      <c r="G70" s="17" t="n"/>
      <c r="H70" s="17" t="n"/>
      <c r="I70" s="17" t="n"/>
      <c r="J70" s="17" t="n"/>
      <c r="K70" s="17" t="n"/>
    </row>
  </sheetData>
  <dataValidations count="1">
    <dataValidation sqref="E53:J53" showDropDown="0" showInputMessage="0" showErrorMessage="0" allowBlank="1" type="list">
      <formula1>"air,N2"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" customWidth="1" min="3" max="3"/>
    <col width="7" customWidth="1" min="4" max="4"/>
    <col width="7" customWidth="1" min="5" max="5"/>
    <col width="7" customWidth="1" min="6" max="6"/>
    <col width="40" customWidth="1" min="7" max="7"/>
    <col width="11" customWidth="1" min="8" max="8"/>
    <col width="12" customWidth="1" min="9" max="9"/>
    <col width="20" customWidth="1" min="10" max="10"/>
    <col width="7" customWidth="1" min="11" max="11"/>
    <col width="9" customWidth="1" min="12" max="12"/>
    <col width="18" customWidth="1" min="13" max="13"/>
    <col width="10" customWidth="1" min="14" max="14"/>
    <col width="28" customWidth="1" min="15" max="15"/>
  </cols>
  <sheetData>
    <row r="1">
      <c r="A1" s="1" t="inlineStr">
        <is>
          <t>Results — one row per single reading</t>
        </is>
      </c>
    </row>
    <row r="2">
      <c r="A2" s="2" t="inlineStr">
        <is>
          <t>Pick the Plan ID; Measurement and Unit fill in. Age = hours after the anneal (slugs) or after the bake (cans).</t>
        </is>
      </c>
    </row>
    <row r="4">
      <c r="A4" s="7" t="inlineStr">
        <is>
          <t>Date</t>
        </is>
      </c>
      <c r="B4" s="7" t="inlineStr">
        <is>
          <t>Sample ID</t>
        </is>
      </c>
      <c r="C4" s="7" t="inlineStr">
        <is>
          <t>Alloy</t>
        </is>
      </c>
      <c r="D4" s="7" t="inlineStr">
        <is>
          <t>Cast no.</t>
        </is>
      </c>
      <c r="E4" s="7" t="inlineStr">
        <is>
          <t>Coil no.</t>
        </is>
      </c>
      <c r="F4" s="7" t="inlineStr">
        <is>
          <t>Plan ID</t>
        </is>
      </c>
      <c r="G4" s="7" t="inlineStr">
        <is>
          <t>Measurement</t>
        </is>
      </c>
      <c r="H4" s="7" t="inlineStr">
        <is>
          <t>Unit</t>
        </is>
      </c>
      <c r="I4" s="7" t="inlineStr">
        <is>
          <t>Position</t>
        </is>
      </c>
      <c r="J4" s="7" t="inlineStr">
        <is>
          <t>Variant / condition</t>
        </is>
      </c>
      <c r="K4" s="7" t="inlineStr">
        <is>
          <t>Age (h)</t>
        </is>
      </c>
      <c r="L4" s="7" t="inlineStr">
        <is>
          <t>Value</t>
        </is>
      </c>
      <c r="M4" s="7" t="inlineStr">
        <is>
          <t>Method / instrument</t>
        </is>
      </c>
      <c r="N4" s="7" t="inlineStr">
        <is>
          <t>Operator</t>
        </is>
      </c>
      <c r="O4" s="7" t="inlineStr">
        <is>
          <t>Comment / photo file</t>
        </is>
      </c>
    </row>
    <row r="5">
      <c r="A5" s="23" t="n"/>
      <c r="B5" s="17" t="n"/>
      <c r="C5" s="17" t="n"/>
      <c r="D5" s="17" t="n"/>
      <c r="E5" s="17" t="n"/>
      <c r="F5" s="17" t="n"/>
      <c r="G5" s="24">
        <f>IF(F5="","",IFERROR(INDEX(Plan!$C:$C,MATCH(F5,Plan!$A:$A,0)),"unknown ID"))</f>
        <v/>
      </c>
      <c r="H5" s="24">
        <f>IF(F5="","",IFERROR(INDEX(Plan!$D:$D,MATCH(F5,Plan!$A:$A,0)),""))</f>
        <v/>
      </c>
      <c r="I5" s="17" t="n"/>
      <c r="J5" s="17" t="n"/>
      <c r="K5" s="17" t="n"/>
      <c r="L5" s="17" t="n"/>
      <c r="M5" s="17" t="n"/>
      <c r="N5" s="17" t="n"/>
      <c r="O5" s="17" t="n"/>
    </row>
    <row r="6">
      <c r="A6" s="23" t="n"/>
      <c r="B6" s="17" t="n"/>
      <c r="C6" s="17" t="n"/>
      <c r="D6" s="17" t="n"/>
      <c r="E6" s="17" t="n"/>
      <c r="F6" s="17" t="n"/>
      <c r="G6" s="24">
        <f>IF(F6="","",IFERROR(INDEX(Plan!$C:$C,MATCH(F6,Plan!$A:$A,0)),"unknown ID"))</f>
        <v/>
      </c>
      <c r="H6" s="24">
        <f>IF(F6="","",IFERROR(INDEX(Plan!$D:$D,MATCH(F6,Plan!$A:$A,0)),""))</f>
        <v/>
      </c>
      <c r="I6" s="17" t="n"/>
      <c r="J6" s="17" t="n"/>
      <c r="K6" s="17" t="n"/>
      <c r="L6" s="17" t="n"/>
      <c r="M6" s="17" t="n"/>
      <c r="N6" s="17" t="n"/>
      <c r="O6" s="17" t="n"/>
    </row>
    <row r="7">
      <c r="A7" s="23" t="n"/>
      <c r="B7" s="17" t="n"/>
      <c r="C7" s="17" t="n"/>
      <c r="D7" s="17" t="n"/>
      <c r="E7" s="17" t="n"/>
      <c r="F7" s="17" t="n"/>
      <c r="G7" s="24">
        <f>IF(F7="","",IFERROR(INDEX(Plan!$C:$C,MATCH(F7,Plan!$A:$A,0)),"unknown ID"))</f>
        <v/>
      </c>
      <c r="H7" s="24">
        <f>IF(F7="","",IFERROR(INDEX(Plan!$D:$D,MATCH(F7,Plan!$A:$A,0)),""))</f>
        <v/>
      </c>
      <c r="I7" s="17" t="n"/>
      <c r="J7" s="17" t="n"/>
      <c r="K7" s="17" t="n"/>
      <c r="L7" s="17" t="n"/>
      <c r="M7" s="17" t="n"/>
      <c r="N7" s="17" t="n"/>
      <c r="O7" s="17" t="n"/>
    </row>
    <row r="8">
      <c r="A8" s="23" t="n"/>
      <c r="B8" s="17" t="n"/>
      <c r="C8" s="17" t="n"/>
      <c r="D8" s="17" t="n"/>
      <c r="E8" s="17" t="n"/>
      <c r="F8" s="17" t="n"/>
      <c r="G8" s="24">
        <f>IF(F8="","",IFERROR(INDEX(Plan!$C:$C,MATCH(F8,Plan!$A:$A,0)),"unknown ID"))</f>
        <v/>
      </c>
      <c r="H8" s="24">
        <f>IF(F8="","",IFERROR(INDEX(Plan!$D:$D,MATCH(F8,Plan!$A:$A,0)),""))</f>
        <v/>
      </c>
      <c r="I8" s="17" t="n"/>
      <c r="J8" s="17" t="n"/>
      <c r="K8" s="17" t="n"/>
      <c r="L8" s="17" t="n"/>
      <c r="M8" s="17" t="n"/>
      <c r="N8" s="17" t="n"/>
      <c r="O8" s="17" t="n"/>
    </row>
    <row r="9">
      <c r="A9" s="23" t="n"/>
      <c r="B9" s="17" t="n"/>
      <c r="C9" s="17" t="n"/>
      <c r="D9" s="17" t="n"/>
      <c r="E9" s="17" t="n"/>
      <c r="F9" s="17" t="n"/>
      <c r="G9" s="24">
        <f>IF(F9="","",IFERROR(INDEX(Plan!$C:$C,MATCH(F9,Plan!$A:$A,0)),"unknown ID"))</f>
        <v/>
      </c>
      <c r="H9" s="24">
        <f>IF(F9="","",IFERROR(INDEX(Plan!$D:$D,MATCH(F9,Plan!$A:$A,0)),""))</f>
        <v/>
      </c>
      <c r="I9" s="17" t="n"/>
      <c r="J9" s="17" t="n"/>
      <c r="K9" s="17" t="n"/>
      <c r="L9" s="17" t="n"/>
      <c r="M9" s="17" t="n"/>
      <c r="N9" s="17" t="n"/>
      <c r="O9" s="17" t="n"/>
    </row>
    <row r="10">
      <c r="A10" s="23" t="n"/>
      <c r="B10" s="17" t="n"/>
      <c r="C10" s="17" t="n"/>
      <c r="D10" s="17" t="n"/>
      <c r="E10" s="17" t="n"/>
      <c r="F10" s="17" t="n"/>
      <c r="G10" s="24">
        <f>IF(F10="","",IFERROR(INDEX(Plan!$C:$C,MATCH(F10,Plan!$A:$A,0)),"unknown ID"))</f>
        <v/>
      </c>
      <c r="H10" s="24">
        <f>IF(F10="","",IFERROR(INDEX(Plan!$D:$D,MATCH(F10,Plan!$A:$A,0)),""))</f>
        <v/>
      </c>
      <c r="I10" s="17" t="n"/>
      <c r="J10" s="17" t="n"/>
      <c r="K10" s="17" t="n"/>
      <c r="L10" s="17" t="n"/>
      <c r="M10" s="17" t="n"/>
      <c r="N10" s="17" t="n"/>
      <c r="O10" s="17" t="n"/>
    </row>
    <row r="11">
      <c r="A11" s="23" t="n"/>
      <c r="B11" s="17" t="n"/>
      <c r="C11" s="17" t="n"/>
      <c r="D11" s="17" t="n"/>
      <c r="E11" s="17" t="n"/>
      <c r="F11" s="17" t="n"/>
      <c r="G11" s="24">
        <f>IF(F11="","",IFERROR(INDEX(Plan!$C:$C,MATCH(F11,Plan!$A:$A,0)),"unknown ID"))</f>
        <v/>
      </c>
      <c r="H11" s="24">
        <f>IF(F11="","",IFERROR(INDEX(Plan!$D:$D,MATCH(F11,Plan!$A:$A,0)),""))</f>
        <v/>
      </c>
      <c r="I11" s="17" t="n"/>
      <c r="J11" s="17" t="n"/>
      <c r="K11" s="17" t="n"/>
      <c r="L11" s="17" t="n"/>
      <c r="M11" s="17" t="n"/>
      <c r="N11" s="17" t="n"/>
      <c r="O11" s="17" t="n"/>
    </row>
    <row r="12">
      <c r="A12" s="23" t="n"/>
      <c r="B12" s="17" t="n"/>
      <c r="C12" s="17" t="n"/>
      <c r="D12" s="17" t="n"/>
      <c r="E12" s="17" t="n"/>
      <c r="F12" s="17" t="n"/>
      <c r="G12" s="24">
        <f>IF(F12="","",IFERROR(INDEX(Plan!$C:$C,MATCH(F12,Plan!$A:$A,0)),"unknown ID"))</f>
        <v/>
      </c>
      <c r="H12" s="24">
        <f>IF(F12="","",IFERROR(INDEX(Plan!$D:$D,MATCH(F12,Plan!$A:$A,0)),""))</f>
        <v/>
      </c>
      <c r="I12" s="17" t="n"/>
      <c r="J12" s="17" t="n"/>
      <c r="K12" s="17" t="n"/>
      <c r="L12" s="17" t="n"/>
      <c r="M12" s="17" t="n"/>
      <c r="N12" s="17" t="n"/>
      <c r="O12" s="17" t="n"/>
    </row>
    <row r="13">
      <c r="A13" s="23" t="n"/>
      <c r="B13" s="17" t="n"/>
      <c r="C13" s="17" t="n"/>
      <c r="D13" s="17" t="n"/>
      <c r="E13" s="17" t="n"/>
      <c r="F13" s="17" t="n"/>
      <c r="G13" s="24">
        <f>IF(F13="","",IFERROR(INDEX(Plan!$C:$C,MATCH(F13,Plan!$A:$A,0)),"unknown ID"))</f>
        <v/>
      </c>
      <c r="H13" s="24">
        <f>IF(F13="","",IFERROR(INDEX(Plan!$D:$D,MATCH(F13,Plan!$A:$A,0)),""))</f>
        <v/>
      </c>
      <c r="I13" s="17" t="n"/>
      <c r="J13" s="17" t="n"/>
      <c r="K13" s="17" t="n"/>
      <c r="L13" s="17" t="n"/>
      <c r="M13" s="17" t="n"/>
      <c r="N13" s="17" t="n"/>
      <c r="O13" s="17" t="n"/>
    </row>
    <row r="14">
      <c r="A14" s="23" t="n"/>
      <c r="B14" s="17" t="n"/>
      <c r="C14" s="17" t="n"/>
      <c r="D14" s="17" t="n"/>
      <c r="E14" s="17" t="n"/>
      <c r="F14" s="17" t="n"/>
      <c r="G14" s="24">
        <f>IF(F14="","",IFERROR(INDEX(Plan!$C:$C,MATCH(F14,Plan!$A:$A,0)),"unknown ID"))</f>
        <v/>
      </c>
      <c r="H14" s="24">
        <f>IF(F14="","",IFERROR(INDEX(Plan!$D:$D,MATCH(F14,Plan!$A:$A,0)),""))</f>
        <v/>
      </c>
      <c r="I14" s="17" t="n"/>
      <c r="J14" s="17" t="n"/>
      <c r="K14" s="17" t="n"/>
      <c r="L14" s="17" t="n"/>
      <c r="M14" s="17" t="n"/>
      <c r="N14" s="17" t="n"/>
      <c r="O14" s="17" t="n"/>
    </row>
    <row r="15">
      <c r="A15" s="23" t="n"/>
      <c r="B15" s="17" t="n"/>
      <c r="C15" s="17" t="n"/>
      <c r="D15" s="17" t="n"/>
      <c r="E15" s="17" t="n"/>
      <c r="F15" s="17" t="n"/>
      <c r="G15" s="24">
        <f>IF(F15="","",IFERROR(INDEX(Plan!$C:$C,MATCH(F15,Plan!$A:$A,0)),"unknown ID"))</f>
        <v/>
      </c>
      <c r="H15" s="24">
        <f>IF(F15="","",IFERROR(INDEX(Plan!$D:$D,MATCH(F15,Plan!$A:$A,0)),""))</f>
        <v/>
      </c>
      <c r="I15" s="17" t="n"/>
      <c r="J15" s="17" t="n"/>
      <c r="K15" s="17" t="n"/>
      <c r="L15" s="17" t="n"/>
      <c r="M15" s="17" t="n"/>
      <c r="N15" s="17" t="n"/>
      <c r="O15" s="17" t="n"/>
    </row>
    <row r="16">
      <c r="A16" s="23" t="n"/>
      <c r="B16" s="17" t="n"/>
      <c r="C16" s="17" t="n"/>
      <c r="D16" s="17" t="n"/>
      <c r="E16" s="17" t="n"/>
      <c r="F16" s="17" t="n"/>
      <c r="G16" s="24">
        <f>IF(F16="","",IFERROR(INDEX(Plan!$C:$C,MATCH(F16,Plan!$A:$A,0)),"unknown ID"))</f>
        <v/>
      </c>
      <c r="H16" s="24">
        <f>IF(F16="","",IFERROR(INDEX(Plan!$D:$D,MATCH(F16,Plan!$A:$A,0)),""))</f>
        <v/>
      </c>
      <c r="I16" s="17" t="n"/>
      <c r="J16" s="17" t="n"/>
      <c r="K16" s="17" t="n"/>
      <c r="L16" s="17" t="n"/>
      <c r="M16" s="17" t="n"/>
      <c r="N16" s="17" t="n"/>
      <c r="O16" s="17" t="n"/>
    </row>
    <row r="17">
      <c r="A17" s="23" t="n"/>
      <c r="B17" s="17" t="n"/>
      <c r="C17" s="17" t="n"/>
      <c r="D17" s="17" t="n"/>
      <c r="E17" s="17" t="n"/>
      <c r="F17" s="17" t="n"/>
      <c r="G17" s="24">
        <f>IF(F17="","",IFERROR(INDEX(Plan!$C:$C,MATCH(F17,Plan!$A:$A,0)),"unknown ID"))</f>
        <v/>
      </c>
      <c r="H17" s="24">
        <f>IF(F17="","",IFERROR(INDEX(Plan!$D:$D,MATCH(F17,Plan!$A:$A,0)),""))</f>
        <v/>
      </c>
      <c r="I17" s="17" t="n"/>
      <c r="J17" s="17" t="n"/>
      <c r="K17" s="17" t="n"/>
      <c r="L17" s="17" t="n"/>
      <c r="M17" s="17" t="n"/>
      <c r="N17" s="17" t="n"/>
      <c r="O17" s="17" t="n"/>
    </row>
    <row r="18">
      <c r="A18" s="23" t="n"/>
      <c r="B18" s="17" t="n"/>
      <c r="C18" s="17" t="n"/>
      <c r="D18" s="17" t="n"/>
      <c r="E18" s="17" t="n"/>
      <c r="F18" s="17" t="n"/>
      <c r="G18" s="24">
        <f>IF(F18="","",IFERROR(INDEX(Plan!$C:$C,MATCH(F18,Plan!$A:$A,0)),"unknown ID"))</f>
        <v/>
      </c>
      <c r="H18" s="24">
        <f>IF(F18="","",IFERROR(INDEX(Plan!$D:$D,MATCH(F18,Plan!$A:$A,0)),""))</f>
        <v/>
      </c>
      <c r="I18" s="17" t="n"/>
      <c r="J18" s="17" t="n"/>
      <c r="K18" s="17" t="n"/>
      <c r="L18" s="17" t="n"/>
      <c r="M18" s="17" t="n"/>
      <c r="N18" s="17" t="n"/>
      <c r="O18" s="17" t="n"/>
    </row>
    <row r="19">
      <c r="A19" s="23" t="n"/>
      <c r="B19" s="17" t="n"/>
      <c r="C19" s="17" t="n"/>
      <c r="D19" s="17" t="n"/>
      <c r="E19" s="17" t="n"/>
      <c r="F19" s="17" t="n"/>
      <c r="G19" s="24">
        <f>IF(F19="","",IFERROR(INDEX(Plan!$C:$C,MATCH(F19,Plan!$A:$A,0)),"unknown ID"))</f>
        <v/>
      </c>
      <c r="H19" s="24">
        <f>IF(F19="","",IFERROR(INDEX(Plan!$D:$D,MATCH(F19,Plan!$A:$A,0)),""))</f>
        <v/>
      </c>
      <c r="I19" s="17" t="n"/>
      <c r="J19" s="17" t="n"/>
      <c r="K19" s="17" t="n"/>
      <c r="L19" s="17" t="n"/>
      <c r="M19" s="17" t="n"/>
      <c r="N19" s="17" t="n"/>
      <c r="O19" s="17" t="n"/>
    </row>
    <row r="20">
      <c r="A20" s="23" t="n"/>
      <c r="B20" s="17" t="n"/>
      <c r="C20" s="17" t="n"/>
      <c r="D20" s="17" t="n"/>
      <c r="E20" s="17" t="n"/>
      <c r="F20" s="17" t="n"/>
      <c r="G20" s="24">
        <f>IF(F20="","",IFERROR(INDEX(Plan!$C:$C,MATCH(F20,Plan!$A:$A,0)),"unknown ID"))</f>
        <v/>
      </c>
      <c r="H20" s="24">
        <f>IF(F20="","",IFERROR(INDEX(Plan!$D:$D,MATCH(F20,Plan!$A:$A,0)),""))</f>
        <v/>
      </c>
      <c r="I20" s="17" t="n"/>
      <c r="J20" s="17" t="n"/>
      <c r="K20" s="17" t="n"/>
      <c r="L20" s="17" t="n"/>
      <c r="M20" s="17" t="n"/>
      <c r="N20" s="17" t="n"/>
      <c r="O20" s="17" t="n"/>
    </row>
    <row r="21">
      <c r="A21" s="23" t="n"/>
      <c r="B21" s="17" t="n"/>
      <c r="C21" s="17" t="n"/>
      <c r="D21" s="17" t="n"/>
      <c r="E21" s="17" t="n"/>
      <c r="F21" s="17" t="n"/>
      <c r="G21" s="24">
        <f>IF(F21="","",IFERROR(INDEX(Plan!$C:$C,MATCH(F21,Plan!$A:$A,0)),"unknown ID"))</f>
        <v/>
      </c>
      <c r="H21" s="24">
        <f>IF(F21="","",IFERROR(INDEX(Plan!$D:$D,MATCH(F21,Plan!$A:$A,0)),""))</f>
        <v/>
      </c>
      <c r="I21" s="17" t="n"/>
      <c r="J21" s="17" t="n"/>
      <c r="K21" s="17" t="n"/>
      <c r="L21" s="17" t="n"/>
      <c r="M21" s="17" t="n"/>
      <c r="N21" s="17" t="n"/>
      <c r="O21" s="17" t="n"/>
    </row>
    <row r="22">
      <c r="A22" s="23" t="n"/>
      <c r="B22" s="17" t="n"/>
      <c r="C22" s="17" t="n"/>
      <c r="D22" s="17" t="n"/>
      <c r="E22" s="17" t="n"/>
      <c r="F22" s="17" t="n"/>
      <c r="G22" s="24">
        <f>IF(F22="","",IFERROR(INDEX(Plan!$C:$C,MATCH(F22,Plan!$A:$A,0)),"unknown ID"))</f>
        <v/>
      </c>
      <c r="H22" s="24">
        <f>IF(F22="","",IFERROR(INDEX(Plan!$D:$D,MATCH(F22,Plan!$A:$A,0)),""))</f>
        <v/>
      </c>
      <c r="I22" s="17" t="n"/>
      <c r="J22" s="17" t="n"/>
      <c r="K22" s="17" t="n"/>
      <c r="L22" s="17" t="n"/>
      <c r="M22" s="17" t="n"/>
      <c r="N22" s="17" t="n"/>
      <c r="O22" s="17" t="n"/>
    </row>
    <row r="23">
      <c r="A23" s="23" t="n"/>
      <c r="B23" s="17" t="n"/>
      <c r="C23" s="17" t="n"/>
      <c r="D23" s="17" t="n"/>
      <c r="E23" s="17" t="n"/>
      <c r="F23" s="17" t="n"/>
      <c r="G23" s="24">
        <f>IF(F23="","",IFERROR(INDEX(Plan!$C:$C,MATCH(F23,Plan!$A:$A,0)),"unknown ID"))</f>
        <v/>
      </c>
      <c r="H23" s="24">
        <f>IF(F23="","",IFERROR(INDEX(Plan!$D:$D,MATCH(F23,Plan!$A:$A,0)),""))</f>
        <v/>
      </c>
      <c r="I23" s="17" t="n"/>
      <c r="J23" s="17" t="n"/>
      <c r="K23" s="17" t="n"/>
      <c r="L23" s="17" t="n"/>
      <c r="M23" s="17" t="n"/>
      <c r="N23" s="17" t="n"/>
      <c r="O23" s="17" t="n"/>
    </row>
    <row r="24">
      <c r="A24" s="23" t="n"/>
      <c r="B24" s="17" t="n"/>
      <c r="C24" s="17" t="n"/>
      <c r="D24" s="17" t="n"/>
      <c r="E24" s="17" t="n"/>
      <c r="F24" s="17" t="n"/>
      <c r="G24" s="24">
        <f>IF(F24="","",IFERROR(INDEX(Plan!$C:$C,MATCH(F24,Plan!$A:$A,0)),"unknown ID"))</f>
        <v/>
      </c>
      <c r="H24" s="24">
        <f>IF(F24="","",IFERROR(INDEX(Plan!$D:$D,MATCH(F24,Plan!$A:$A,0)),""))</f>
        <v/>
      </c>
      <c r="I24" s="17" t="n"/>
      <c r="J24" s="17" t="n"/>
      <c r="K24" s="17" t="n"/>
      <c r="L24" s="17" t="n"/>
      <c r="M24" s="17" t="n"/>
      <c r="N24" s="17" t="n"/>
      <c r="O24" s="17" t="n"/>
    </row>
    <row r="25">
      <c r="A25" s="23" t="n"/>
      <c r="B25" s="17" t="n"/>
      <c r="C25" s="17" t="n"/>
      <c r="D25" s="17" t="n"/>
      <c r="E25" s="17" t="n"/>
      <c r="F25" s="17" t="n"/>
      <c r="G25" s="24">
        <f>IF(F25="","",IFERROR(INDEX(Plan!$C:$C,MATCH(F25,Plan!$A:$A,0)),"unknown ID"))</f>
        <v/>
      </c>
      <c r="H25" s="24">
        <f>IF(F25="","",IFERROR(INDEX(Plan!$D:$D,MATCH(F25,Plan!$A:$A,0)),""))</f>
        <v/>
      </c>
      <c r="I25" s="17" t="n"/>
      <c r="J25" s="17" t="n"/>
      <c r="K25" s="17" t="n"/>
      <c r="L25" s="17" t="n"/>
      <c r="M25" s="17" t="n"/>
      <c r="N25" s="17" t="n"/>
      <c r="O25" s="17" t="n"/>
    </row>
    <row r="26">
      <c r="A26" s="23" t="n"/>
      <c r="B26" s="17" t="n"/>
      <c r="C26" s="17" t="n"/>
      <c r="D26" s="17" t="n"/>
      <c r="E26" s="17" t="n"/>
      <c r="F26" s="17" t="n"/>
      <c r="G26" s="24">
        <f>IF(F26="","",IFERROR(INDEX(Plan!$C:$C,MATCH(F26,Plan!$A:$A,0)),"unknown ID"))</f>
        <v/>
      </c>
      <c r="H26" s="24">
        <f>IF(F26="","",IFERROR(INDEX(Plan!$D:$D,MATCH(F26,Plan!$A:$A,0)),""))</f>
        <v/>
      </c>
      <c r="I26" s="17" t="n"/>
      <c r="J26" s="17" t="n"/>
      <c r="K26" s="17" t="n"/>
      <c r="L26" s="17" t="n"/>
      <c r="M26" s="17" t="n"/>
      <c r="N26" s="17" t="n"/>
      <c r="O26" s="17" t="n"/>
    </row>
    <row r="27">
      <c r="A27" s="23" t="n"/>
      <c r="B27" s="17" t="n"/>
      <c r="C27" s="17" t="n"/>
      <c r="D27" s="17" t="n"/>
      <c r="E27" s="17" t="n"/>
      <c r="F27" s="17" t="n"/>
      <c r="G27" s="24">
        <f>IF(F27="","",IFERROR(INDEX(Plan!$C:$C,MATCH(F27,Plan!$A:$A,0)),"unknown ID"))</f>
        <v/>
      </c>
      <c r="H27" s="24">
        <f>IF(F27="","",IFERROR(INDEX(Plan!$D:$D,MATCH(F27,Plan!$A:$A,0)),""))</f>
        <v/>
      </c>
      <c r="I27" s="17" t="n"/>
      <c r="J27" s="17" t="n"/>
      <c r="K27" s="17" t="n"/>
      <c r="L27" s="17" t="n"/>
      <c r="M27" s="17" t="n"/>
      <c r="N27" s="17" t="n"/>
      <c r="O27" s="17" t="n"/>
    </row>
    <row r="28">
      <c r="A28" s="23" t="n"/>
      <c r="B28" s="17" t="n"/>
      <c r="C28" s="17" t="n"/>
      <c r="D28" s="17" t="n"/>
      <c r="E28" s="17" t="n"/>
      <c r="F28" s="17" t="n"/>
      <c r="G28" s="24">
        <f>IF(F28="","",IFERROR(INDEX(Plan!$C:$C,MATCH(F28,Plan!$A:$A,0)),"unknown ID"))</f>
        <v/>
      </c>
      <c r="H28" s="24">
        <f>IF(F28="","",IFERROR(INDEX(Plan!$D:$D,MATCH(F28,Plan!$A:$A,0)),""))</f>
        <v/>
      </c>
      <c r="I28" s="17" t="n"/>
      <c r="J28" s="17" t="n"/>
      <c r="K28" s="17" t="n"/>
      <c r="L28" s="17" t="n"/>
      <c r="M28" s="17" t="n"/>
      <c r="N28" s="17" t="n"/>
      <c r="O28" s="17" t="n"/>
    </row>
    <row r="29">
      <c r="A29" s="23" t="n"/>
      <c r="B29" s="17" t="n"/>
      <c r="C29" s="17" t="n"/>
      <c r="D29" s="17" t="n"/>
      <c r="E29" s="17" t="n"/>
      <c r="F29" s="17" t="n"/>
      <c r="G29" s="24">
        <f>IF(F29="","",IFERROR(INDEX(Plan!$C:$C,MATCH(F29,Plan!$A:$A,0)),"unknown ID"))</f>
        <v/>
      </c>
      <c r="H29" s="24">
        <f>IF(F29="","",IFERROR(INDEX(Plan!$D:$D,MATCH(F29,Plan!$A:$A,0)),""))</f>
        <v/>
      </c>
      <c r="I29" s="17" t="n"/>
      <c r="J29" s="17" t="n"/>
      <c r="K29" s="17" t="n"/>
      <c r="L29" s="17" t="n"/>
      <c r="M29" s="17" t="n"/>
      <c r="N29" s="17" t="n"/>
      <c r="O29" s="17" t="n"/>
    </row>
    <row r="30">
      <c r="A30" s="23" t="n"/>
      <c r="B30" s="17" t="n"/>
      <c r="C30" s="17" t="n"/>
      <c r="D30" s="17" t="n"/>
      <c r="E30" s="17" t="n"/>
      <c r="F30" s="17" t="n"/>
      <c r="G30" s="24">
        <f>IF(F30="","",IFERROR(INDEX(Plan!$C:$C,MATCH(F30,Plan!$A:$A,0)),"unknown ID"))</f>
        <v/>
      </c>
      <c r="H30" s="24">
        <f>IF(F30="","",IFERROR(INDEX(Plan!$D:$D,MATCH(F30,Plan!$A:$A,0)),""))</f>
        <v/>
      </c>
      <c r="I30" s="17" t="n"/>
      <c r="J30" s="17" t="n"/>
      <c r="K30" s="17" t="n"/>
      <c r="L30" s="17" t="n"/>
      <c r="M30" s="17" t="n"/>
      <c r="N30" s="17" t="n"/>
      <c r="O30" s="17" t="n"/>
    </row>
    <row r="31">
      <c r="A31" s="23" t="n"/>
      <c r="B31" s="17" t="n"/>
      <c r="C31" s="17" t="n"/>
      <c r="D31" s="17" t="n"/>
      <c r="E31" s="17" t="n"/>
      <c r="F31" s="17" t="n"/>
      <c r="G31" s="24">
        <f>IF(F31="","",IFERROR(INDEX(Plan!$C:$C,MATCH(F31,Plan!$A:$A,0)),"unknown ID"))</f>
        <v/>
      </c>
      <c r="H31" s="24">
        <f>IF(F31="","",IFERROR(INDEX(Plan!$D:$D,MATCH(F31,Plan!$A:$A,0)),""))</f>
        <v/>
      </c>
      <c r="I31" s="17" t="n"/>
      <c r="J31" s="17" t="n"/>
      <c r="K31" s="17" t="n"/>
      <c r="L31" s="17" t="n"/>
      <c r="M31" s="17" t="n"/>
      <c r="N31" s="17" t="n"/>
      <c r="O31" s="17" t="n"/>
    </row>
    <row r="32">
      <c r="A32" s="23" t="n"/>
      <c r="B32" s="17" t="n"/>
      <c r="C32" s="17" t="n"/>
      <c r="D32" s="17" t="n"/>
      <c r="E32" s="17" t="n"/>
      <c r="F32" s="17" t="n"/>
      <c r="G32" s="24">
        <f>IF(F32="","",IFERROR(INDEX(Plan!$C:$C,MATCH(F32,Plan!$A:$A,0)),"unknown ID"))</f>
        <v/>
      </c>
      <c r="H32" s="24">
        <f>IF(F32="","",IFERROR(INDEX(Plan!$D:$D,MATCH(F32,Plan!$A:$A,0)),""))</f>
        <v/>
      </c>
      <c r="I32" s="17" t="n"/>
      <c r="J32" s="17" t="n"/>
      <c r="K32" s="17" t="n"/>
      <c r="L32" s="17" t="n"/>
      <c r="M32" s="17" t="n"/>
      <c r="N32" s="17" t="n"/>
      <c r="O32" s="17" t="n"/>
    </row>
    <row r="33">
      <c r="A33" s="23" t="n"/>
      <c r="B33" s="17" t="n"/>
      <c r="C33" s="17" t="n"/>
      <c r="D33" s="17" t="n"/>
      <c r="E33" s="17" t="n"/>
      <c r="F33" s="17" t="n"/>
      <c r="G33" s="24">
        <f>IF(F33="","",IFERROR(INDEX(Plan!$C:$C,MATCH(F33,Plan!$A:$A,0)),"unknown ID"))</f>
        <v/>
      </c>
      <c r="H33" s="24">
        <f>IF(F33="","",IFERROR(INDEX(Plan!$D:$D,MATCH(F33,Plan!$A:$A,0)),""))</f>
        <v/>
      </c>
      <c r="I33" s="17" t="n"/>
      <c r="J33" s="17" t="n"/>
      <c r="K33" s="17" t="n"/>
      <c r="L33" s="17" t="n"/>
      <c r="M33" s="17" t="n"/>
      <c r="N33" s="17" t="n"/>
      <c r="O33" s="17" t="n"/>
    </row>
    <row r="34">
      <c r="A34" s="23" t="n"/>
      <c r="B34" s="17" t="n"/>
      <c r="C34" s="17" t="n"/>
      <c r="D34" s="17" t="n"/>
      <c r="E34" s="17" t="n"/>
      <c r="F34" s="17" t="n"/>
      <c r="G34" s="24">
        <f>IF(F34="","",IFERROR(INDEX(Plan!$C:$C,MATCH(F34,Plan!$A:$A,0)),"unknown ID"))</f>
        <v/>
      </c>
      <c r="H34" s="24">
        <f>IF(F34="","",IFERROR(INDEX(Plan!$D:$D,MATCH(F34,Plan!$A:$A,0)),""))</f>
        <v/>
      </c>
      <c r="I34" s="17" t="n"/>
      <c r="J34" s="17" t="n"/>
      <c r="K34" s="17" t="n"/>
      <c r="L34" s="17" t="n"/>
      <c r="M34" s="17" t="n"/>
      <c r="N34" s="17" t="n"/>
      <c r="O34" s="17" t="n"/>
    </row>
    <row r="35">
      <c r="A35" s="23" t="n"/>
      <c r="B35" s="17" t="n"/>
      <c r="C35" s="17" t="n"/>
      <c r="D35" s="17" t="n"/>
      <c r="E35" s="17" t="n"/>
      <c r="F35" s="17" t="n"/>
      <c r="G35" s="24">
        <f>IF(F35="","",IFERROR(INDEX(Plan!$C:$C,MATCH(F35,Plan!$A:$A,0)),"unknown ID"))</f>
        <v/>
      </c>
      <c r="H35" s="24">
        <f>IF(F35="","",IFERROR(INDEX(Plan!$D:$D,MATCH(F35,Plan!$A:$A,0)),""))</f>
        <v/>
      </c>
      <c r="I35" s="17" t="n"/>
      <c r="J35" s="17" t="n"/>
      <c r="K35" s="17" t="n"/>
      <c r="L35" s="17" t="n"/>
      <c r="M35" s="17" t="n"/>
      <c r="N35" s="17" t="n"/>
      <c r="O35" s="17" t="n"/>
    </row>
    <row r="36">
      <c r="A36" s="23" t="n"/>
      <c r="B36" s="17" t="n"/>
      <c r="C36" s="17" t="n"/>
      <c r="D36" s="17" t="n"/>
      <c r="E36" s="17" t="n"/>
      <c r="F36" s="17" t="n"/>
      <c r="G36" s="24">
        <f>IF(F36="","",IFERROR(INDEX(Plan!$C:$C,MATCH(F36,Plan!$A:$A,0)),"unknown ID"))</f>
        <v/>
      </c>
      <c r="H36" s="24">
        <f>IF(F36="","",IFERROR(INDEX(Plan!$D:$D,MATCH(F36,Plan!$A:$A,0)),""))</f>
        <v/>
      </c>
      <c r="I36" s="17" t="n"/>
      <c r="J36" s="17" t="n"/>
      <c r="K36" s="17" t="n"/>
      <c r="L36" s="17" t="n"/>
      <c r="M36" s="17" t="n"/>
      <c r="N36" s="17" t="n"/>
      <c r="O36" s="17" t="n"/>
    </row>
    <row r="37">
      <c r="A37" s="23" t="n"/>
      <c r="B37" s="17" t="n"/>
      <c r="C37" s="17" t="n"/>
      <c r="D37" s="17" t="n"/>
      <c r="E37" s="17" t="n"/>
      <c r="F37" s="17" t="n"/>
      <c r="G37" s="24">
        <f>IF(F37="","",IFERROR(INDEX(Plan!$C:$C,MATCH(F37,Plan!$A:$A,0)),"unknown ID"))</f>
        <v/>
      </c>
      <c r="H37" s="24">
        <f>IF(F37="","",IFERROR(INDEX(Plan!$D:$D,MATCH(F37,Plan!$A:$A,0)),""))</f>
        <v/>
      </c>
      <c r="I37" s="17" t="n"/>
      <c r="J37" s="17" t="n"/>
      <c r="K37" s="17" t="n"/>
      <c r="L37" s="17" t="n"/>
      <c r="M37" s="17" t="n"/>
      <c r="N37" s="17" t="n"/>
      <c r="O37" s="17" t="n"/>
    </row>
    <row r="38">
      <c r="A38" s="23" t="n"/>
      <c r="B38" s="17" t="n"/>
      <c r="C38" s="17" t="n"/>
      <c r="D38" s="17" t="n"/>
      <c r="E38" s="17" t="n"/>
      <c r="F38" s="17" t="n"/>
      <c r="G38" s="24">
        <f>IF(F38="","",IFERROR(INDEX(Plan!$C:$C,MATCH(F38,Plan!$A:$A,0)),"unknown ID"))</f>
        <v/>
      </c>
      <c r="H38" s="24">
        <f>IF(F38="","",IFERROR(INDEX(Plan!$D:$D,MATCH(F38,Plan!$A:$A,0)),""))</f>
        <v/>
      </c>
      <c r="I38" s="17" t="n"/>
      <c r="J38" s="17" t="n"/>
      <c r="K38" s="17" t="n"/>
      <c r="L38" s="17" t="n"/>
      <c r="M38" s="17" t="n"/>
      <c r="N38" s="17" t="n"/>
      <c r="O38" s="17" t="n"/>
    </row>
    <row r="39">
      <c r="A39" s="23" t="n"/>
      <c r="B39" s="17" t="n"/>
      <c r="C39" s="17" t="n"/>
      <c r="D39" s="17" t="n"/>
      <c r="E39" s="17" t="n"/>
      <c r="F39" s="17" t="n"/>
      <c r="G39" s="24">
        <f>IF(F39="","",IFERROR(INDEX(Plan!$C:$C,MATCH(F39,Plan!$A:$A,0)),"unknown ID"))</f>
        <v/>
      </c>
      <c r="H39" s="24">
        <f>IF(F39="","",IFERROR(INDEX(Plan!$D:$D,MATCH(F39,Plan!$A:$A,0)),""))</f>
        <v/>
      </c>
      <c r="I39" s="17" t="n"/>
      <c r="J39" s="17" t="n"/>
      <c r="K39" s="17" t="n"/>
      <c r="L39" s="17" t="n"/>
      <c r="M39" s="17" t="n"/>
      <c r="N39" s="17" t="n"/>
      <c r="O39" s="17" t="n"/>
    </row>
    <row r="40">
      <c r="A40" s="23" t="n"/>
      <c r="B40" s="17" t="n"/>
      <c r="C40" s="17" t="n"/>
      <c r="D40" s="17" t="n"/>
      <c r="E40" s="17" t="n"/>
      <c r="F40" s="17" t="n"/>
      <c r="G40" s="24">
        <f>IF(F40="","",IFERROR(INDEX(Plan!$C:$C,MATCH(F40,Plan!$A:$A,0)),"unknown ID"))</f>
        <v/>
      </c>
      <c r="H40" s="24">
        <f>IF(F40="","",IFERROR(INDEX(Plan!$D:$D,MATCH(F40,Plan!$A:$A,0)),""))</f>
        <v/>
      </c>
      <c r="I40" s="17" t="n"/>
      <c r="J40" s="17" t="n"/>
      <c r="K40" s="17" t="n"/>
      <c r="L40" s="17" t="n"/>
      <c r="M40" s="17" t="n"/>
      <c r="N40" s="17" t="n"/>
      <c r="O40" s="17" t="n"/>
    </row>
    <row r="41">
      <c r="A41" s="23" t="n"/>
      <c r="B41" s="17" t="n"/>
      <c r="C41" s="17" t="n"/>
      <c r="D41" s="17" t="n"/>
      <c r="E41" s="17" t="n"/>
      <c r="F41" s="17" t="n"/>
      <c r="G41" s="24">
        <f>IF(F41="","",IFERROR(INDEX(Plan!$C:$C,MATCH(F41,Plan!$A:$A,0)),"unknown ID"))</f>
        <v/>
      </c>
      <c r="H41" s="24">
        <f>IF(F41="","",IFERROR(INDEX(Plan!$D:$D,MATCH(F41,Plan!$A:$A,0)),""))</f>
        <v/>
      </c>
      <c r="I41" s="17" t="n"/>
      <c r="J41" s="17" t="n"/>
      <c r="K41" s="17" t="n"/>
      <c r="L41" s="17" t="n"/>
      <c r="M41" s="17" t="n"/>
      <c r="N41" s="17" t="n"/>
      <c r="O41" s="17" t="n"/>
    </row>
    <row r="42">
      <c r="A42" s="23" t="n"/>
      <c r="B42" s="17" t="n"/>
      <c r="C42" s="17" t="n"/>
      <c r="D42" s="17" t="n"/>
      <c r="E42" s="17" t="n"/>
      <c r="F42" s="17" t="n"/>
      <c r="G42" s="24">
        <f>IF(F42="","",IFERROR(INDEX(Plan!$C:$C,MATCH(F42,Plan!$A:$A,0)),"unknown ID"))</f>
        <v/>
      </c>
      <c r="H42" s="24">
        <f>IF(F42="","",IFERROR(INDEX(Plan!$D:$D,MATCH(F42,Plan!$A:$A,0)),""))</f>
        <v/>
      </c>
      <c r="I42" s="17" t="n"/>
      <c r="J42" s="17" t="n"/>
      <c r="K42" s="17" t="n"/>
      <c r="L42" s="17" t="n"/>
      <c r="M42" s="17" t="n"/>
      <c r="N42" s="17" t="n"/>
      <c r="O42" s="17" t="n"/>
    </row>
    <row r="43">
      <c r="A43" s="23" t="n"/>
      <c r="B43" s="17" t="n"/>
      <c r="C43" s="17" t="n"/>
      <c r="D43" s="17" t="n"/>
      <c r="E43" s="17" t="n"/>
      <c r="F43" s="17" t="n"/>
      <c r="G43" s="24">
        <f>IF(F43="","",IFERROR(INDEX(Plan!$C:$C,MATCH(F43,Plan!$A:$A,0)),"unknown ID"))</f>
        <v/>
      </c>
      <c r="H43" s="24">
        <f>IF(F43="","",IFERROR(INDEX(Plan!$D:$D,MATCH(F43,Plan!$A:$A,0)),""))</f>
        <v/>
      </c>
      <c r="I43" s="17" t="n"/>
      <c r="J43" s="17" t="n"/>
      <c r="K43" s="17" t="n"/>
      <c r="L43" s="17" t="n"/>
      <c r="M43" s="17" t="n"/>
      <c r="N43" s="17" t="n"/>
      <c r="O43" s="17" t="n"/>
    </row>
    <row r="44">
      <c r="A44" s="23" t="n"/>
      <c r="B44" s="17" t="n"/>
      <c r="C44" s="17" t="n"/>
      <c r="D44" s="17" t="n"/>
      <c r="E44" s="17" t="n"/>
      <c r="F44" s="17" t="n"/>
      <c r="G44" s="24">
        <f>IF(F44="","",IFERROR(INDEX(Plan!$C:$C,MATCH(F44,Plan!$A:$A,0)),"unknown ID"))</f>
        <v/>
      </c>
      <c r="H44" s="24">
        <f>IF(F44="","",IFERROR(INDEX(Plan!$D:$D,MATCH(F44,Plan!$A:$A,0)),""))</f>
        <v/>
      </c>
      <c r="I44" s="17" t="n"/>
      <c r="J44" s="17" t="n"/>
      <c r="K44" s="17" t="n"/>
      <c r="L44" s="17" t="n"/>
      <c r="M44" s="17" t="n"/>
      <c r="N44" s="17" t="n"/>
      <c r="O44" s="17" t="n"/>
    </row>
    <row r="45">
      <c r="A45" s="23" t="n"/>
      <c r="B45" s="17" t="n"/>
      <c r="C45" s="17" t="n"/>
      <c r="D45" s="17" t="n"/>
      <c r="E45" s="17" t="n"/>
      <c r="F45" s="17" t="n"/>
      <c r="G45" s="24">
        <f>IF(F45="","",IFERROR(INDEX(Plan!$C:$C,MATCH(F45,Plan!$A:$A,0)),"unknown ID"))</f>
        <v/>
      </c>
      <c r="H45" s="24">
        <f>IF(F45="","",IFERROR(INDEX(Plan!$D:$D,MATCH(F45,Plan!$A:$A,0)),""))</f>
        <v/>
      </c>
      <c r="I45" s="17" t="n"/>
      <c r="J45" s="17" t="n"/>
      <c r="K45" s="17" t="n"/>
      <c r="L45" s="17" t="n"/>
      <c r="M45" s="17" t="n"/>
      <c r="N45" s="17" t="n"/>
      <c r="O45" s="17" t="n"/>
    </row>
    <row r="46">
      <c r="A46" s="23" t="n"/>
      <c r="B46" s="17" t="n"/>
      <c r="C46" s="17" t="n"/>
      <c r="D46" s="17" t="n"/>
      <c r="E46" s="17" t="n"/>
      <c r="F46" s="17" t="n"/>
      <c r="G46" s="24">
        <f>IF(F46="","",IFERROR(INDEX(Plan!$C:$C,MATCH(F46,Plan!$A:$A,0)),"unknown ID"))</f>
        <v/>
      </c>
      <c r="H46" s="24">
        <f>IF(F46="","",IFERROR(INDEX(Plan!$D:$D,MATCH(F46,Plan!$A:$A,0)),""))</f>
        <v/>
      </c>
      <c r="I46" s="17" t="n"/>
      <c r="J46" s="17" t="n"/>
      <c r="K46" s="17" t="n"/>
      <c r="L46" s="17" t="n"/>
      <c r="M46" s="17" t="n"/>
      <c r="N46" s="17" t="n"/>
      <c r="O46" s="17" t="n"/>
    </row>
    <row r="47">
      <c r="A47" s="23" t="n"/>
      <c r="B47" s="17" t="n"/>
      <c r="C47" s="17" t="n"/>
      <c r="D47" s="17" t="n"/>
      <c r="E47" s="17" t="n"/>
      <c r="F47" s="17" t="n"/>
      <c r="G47" s="24">
        <f>IF(F47="","",IFERROR(INDEX(Plan!$C:$C,MATCH(F47,Plan!$A:$A,0)),"unknown ID"))</f>
        <v/>
      </c>
      <c r="H47" s="24">
        <f>IF(F47="","",IFERROR(INDEX(Plan!$D:$D,MATCH(F47,Plan!$A:$A,0)),""))</f>
        <v/>
      </c>
      <c r="I47" s="17" t="n"/>
      <c r="J47" s="17" t="n"/>
      <c r="K47" s="17" t="n"/>
      <c r="L47" s="17" t="n"/>
      <c r="M47" s="17" t="n"/>
      <c r="N47" s="17" t="n"/>
      <c r="O47" s="17" t="n"/>
    </row>
    <row r="48">
      <c r="A48" s="23" t="n"/>
      <c r="B48" s="17" t="n"/>
      <c r="C48" s="17" t="n"/>
      <c r="D48" s="17" t="n"/>
      <c r="E48" s="17" t="n"/>
      <c r="F48" s="17" t="n"/>
      <c r="G48" s="24">
        <f>IF(F48="","",IFERROR(INDEX(Plan!$C:$C,MATCH(F48,Plan!$A:$A,0)),"unknown ID"))</f>
        <v/>
      </c>
      <c r="H48" s="24">
        <f>IF(F48="","",IFERROR(INDEX(Plan!$D:$D,MATCH(F48,Plan!$A:$A,0)),""))</f>
        <v/>
      </c>
      <c r="I48" s="17" t="n"/>
      <c r="J48" s="17" t="n"/>
      <c r="K48" s="17" t="n"/>
      <c r="L48" s="17" t="n"/>
      <c r="M48" s="17" t="n"/>
      <c r="N48" s="17" t="n"/>
      <c r="O48" s="17" t="n"/>
    </row>
    <row r="49">
      <c r="A49" s="23" t="n"/>
      <c r="B49" s="17" t="n"/>
      <c r="C49" s="17" t="n"/>
      <c r="D49" s="17" t="n"/>
      <c r="E49" s="17" t="n"/>
      <c r="F49" s="17" t="n"/>
      <c r="G49" s="24">
        <f>IF(F49="","",IFERROR(INDEX(Plan!$C:$C,MATCH(F49,Plan!$A:$A,0)),"unknown ID"))</f>
        <v/>
      </c>
      <c r="H49" s="24">
        <f>IF(F49="","",IFERROR(INDEX(Plan!$D:$D,MATCH(F49,Plan!$A:$A,0)),""))</f>
        <v/>
      </c>
      <c r="I49" s="17" t="n"/>
      <c r="J49" s="17" t="n"/>
      <c r="K49" s="17" t="n"/>
      <c r="L49" s="17" t="n"/>
      <c r="M49" s="17" t="n"/>
      <c r="N49" s="17" t="n"/>
      <c r="O49" s="17" t="n"/>
    </row>
    <row r="50">
      <c r="A50" s="23" t="n"/>
      <c r="B50" s="17" t="n"/>
      <c r="C50" s="17" t="n"/>
      <c r="D50" s="17" t="n"/>
      <c r="E50" s="17" t="n"/>
      <c r="F50" s="17" t="n"/>
      <c r="G50" s="24">
        <f>IF(F50="","",IFERROR(INDEX(Plan!$C:$C,MATCH(F50,Plan!$A:$A,0)),"unknown ID"))</f>
        <v/>
      </c>
      <c r="H50" s="24">
        <f>IF(F50="","",IFERROR(INDEX(Plan!$D:$D,MATCH(F50,Plan!$A:$A,0)),""))</f>
        <v/>
      </c>
      <c r="I50" s="17" t="n"/>
      <c r="J50" s="17" t="n"/>
      <c r="K50" s="17" t="n"/>
      <c r="L50" s="17" t="n"/>
      <c r="M50" s="17" t="n"/>
      <c r="N50" s="17" t="n"/>
      <c r="O50" s="17" t="n"/>
    </row>
    <row r="51">
      <c r="A51" s="23" t="n"/>
      <c r="B51" s="17" t="n"/>
      <c r="C51" s="17" t="n"/>
      <c r="D51" s="17" t="n"/>
      <c r="E51" s="17" t="n"/>
      <c r="F51" s="17" t="n"/>
      <c r="G51" s="24">
        <f>IF(F51="","",IFERROR(INDEX(Plan!$C:$C,MATCH(F51,Plan!$A:$A,0)),"unknown ID"))</f>
        <v/>
      </c>
      <c r="H51" s="24">
        <f>IF(F51="","",IFERROR(INDEX(Plan!$D:$D,MATCH(F51,Plan!$A:$A,0)),""))</f>
        <v/>
      </c>
      <c r="I51" s="17" t="n"/>
      <c r="J51" s="17" t="n"/>
      <c r="K51" s="17" t="n"/>
      <c r="L51" s="17" t="n"/>
      <c r="M51" s="17" t="n"/>
      <c r="N51" s="17" t="n"/>
      <c r="O51" s="17" t="n"/>
    </row>
    <row r="52">
      <c r="A52" s="23" t="n"/>
      <c r="B52" s="17" t="n"/>
      <c r="C52" s="17" t="n"/>
      <c r="D52" s="17" t="n"/>
      <c r="E52" s="17" t="n"/>
      <c r="F52" s="17" t="n"/>
      <c r="G52" s="24">
        <f>IF(F52="","",IFERROR(INDEX(Plan!$C:$C,MATCH(F52,Plan!$A:$A,0)),"unknown ID"))</f>
        <v/>
      </c>
      <c r="H52" s="24">
        <f>IF(F52="","",IFERROR(INDEX(Plan!$D:$D,MATCH(F52,Plan!$A:$A,0)),""))</f>
        <v/>
      </c>
      <c r="I52" s="17" t="n"/>
      <c r="J52" s="17" t="n"/>
      <c r="K52" s="17" t="n"/>
      <c r="L52" s="17" t="n"/>
      <c r="M52" s="17" t="n"/>
      <c r="N52" s="17" t="n"/>
      <c r="O52" s="17" t="n"/>
    </row>
    <row r="53">
      <c r="A53" s="23" t="n"/>
      <c r="B53" s="17" t="n"/>
      <c r="C53" s="17" t="n"/>
      <c r="D53" s="17" t="n"/>
      <c r="E53" s="17" t="n"/>
      <c r="F53" s="17" t="n"/>
      <c r="G53" s="24">
        <f>IF(F53="","",IFERROR(INDEX(Plan!$C:$C,MATCH(F53,Plan!$A:$A,0)),"unknown ID"))</f>
        <v/>
      </c>
      <c r="H53" s="24">
        <f>IF(F53="","",IFERROR(INDEX(Plan!$D:$D,MATCH(F53,Plan!$A:$A,0)),""))</f>
        <v/>
      </c>
      <c r="I53" s="17" t="n"/>
      <c r="J53" s="17" t="n"/>
      <c r="K53" s="17" t="n"/>
      <c r="L53" s="17" t="n"/>
      <c r="M53" s="17" t="n"/>
      <c r="N53" s="17" t="n"/>
      <c r="O53" s="17" t="n"/>
    </row>
    <row r="54">
      <c r="A54" s="23" t="n"/>
      <c r="B54" s="17" t="n"/>
      <c r="C54" s="17" t="n"/>
      <c r="D54" s="17" t="n"/>
      <c r="E54" s="17" t="n"/>
      <c r="F54" s="17" t="n"/>
      <c r="G54" s="24">
        <f>IF(F54="","",IFERROR(INDEX(Plan!$C:$C,MATCH(F54,Plan!$A:$A,0)),"unknown ID"))</f>
        <v/>
      </c>
      <c r="H54" s="24">
        <f>IF(F54="","",IFERROR(INDEX(Plan!$D:$D,MATCH(F54,Plan!$A:$A,0)),""))</f>
        <v/>
      </c>
      <c r="I54" s="17" t="n"/>
      <c r="J54" s="17" t="n"/>
      <c r="K54" s="17" t="n"/>
      <c r="L54" s="17" t="n"/>
      <c r="M54" s="17" t="n"/>
      <c r="N54" s="17" t="n"/>
      <c r="O54" s="17" t="n"/>
    </row>
    <row r="55">
      <c r="A55" s="23" t="n"/>
      <c r="B55" s="17" t="n"/>
      <c r="C55" s="17" t="n"/>
      <c r="D55" s="17" t="n"/>
      <c r="E55" s="17" t="n"/>
      <c r="F55" s="17" t="n"/>
      <c r="G55" s="24">
        <f>IF(F55="","",IFERROR(INDEX(Plan!$C:$C,MATCH(F55,Plan!$A:$A,0)),"unknown ID"))</f>
        <v/>
      </c>
      <c r="H55" s="24">
        <f>IF(F55="","",IFERROR(INDEX(Plan!$D:$D,MATCH(F55,Plan!$A:$A,0)),""))</f>
        <v/>
      </c>
      <c r="I55" s="17" t="n"/>
      <c r="J55" s="17" t="n"/>
      <c r="K55" s="17" t="n"/>
      <c r="L55" s="17" t="n"/>
      <c r="M55" s="17" t="n"/>
      <c r="N55" s="17" t="n"/>
      <c r="O55" s="17" t="n"/>
    </row>
    <row r="56">
      <c r="A56" s="23" t="n"/>
      <c r="B56" s="17" t="n"/>
      <c r="C56" s="17" t="n"/>
      <c r="D56" s="17" t="n"/>
      <c r="E56" s="17" t="n"/>
      <c r="F56" s="17" t="n"/>
      <c r="G56" s="24">
        <f>IF(F56="","",IFERROR(INDEX(Plan!$C:$C,MATCH(F56,Plan!$A:$A,0)),"unknown ID"))</f>
        <v/>
      </c>
      <c r="H56" s="24">
        <f>IF(F56="","",IFERROR(INDEX(Plan!$D:$D,MATCH(F56,Plan!$A:$A,0)),""))</f>
        <v/>
      </c>
      <c r="I56" s="17" t="n"/>
      <c r="J56" s="17" t="n"/>
      <c r="K56" s="17" t="n"/>
      <c r="L56" s="17" t="n"/>
      <c r="M56" s="17" t="n"/>
      <c r="N56" s="17" t="n"/>
      <c r="O56" s="17" t="n"/>
    </row>
    <row r="57">
      <c r="A57" s="23" t="n"/>
      <c r="B57" s="17" t="n"/>
      <c r="C57" s="17" t="n"/>
      <c r="D57" s="17" t="n"/>
      <c r="E57" s="17" t="n"/>
      <c r="F57" s="17" t="n"/>
      <c r="G57" s="24">
        <f>IF(F57="","",IFERROR(INDEX(Plan!$C:$C,MATCH(F57,Plan!$A:$A,0)),"unknown ID"))</f>
        <v/>
      </c>
      <c r="H57" s="24">
        <f>IF(F57="","",IFERROR(INDEX(Plan!$D:$D,MATCH(F57,Plan!$A:$A,0)),""))</f>
        <v/>
      </c>
      <c r="I57" s="17" t="n"/>
      <c r="J57" s="17" t="n"/>
      <c r="K57" s="17" t="n"/>
      <c r="L57" s="17" t="n"/>
      <c r="M57" s="17" t="n"/>
      <c r="N57" s="17" t="n"/>
      <c r="O57" s="17" t="n"/>
    </row>
    <row r="58">
      <c r="A58" s="23" t="n"/>
      <c r="B58" s="17" t="n"/>
      <c r="C58" s="17" t="n"/>
      <c r="D58" s="17" t="n"/>
      <c r="E58" s="17" t="n"/>
      <c r="F58" s="17" t="n"/>
      <c r="G58" s="24">
        <f>IF(F58="","",IFERROR(INDEX(Plan!$C:$C,MATCH(F58,Plan!$A:$A,0)),"unknown ID"))</f>
        <v/>
      </c>
      <c r="H58" s="24">
        <f>IF(F58="","",IFERROR(INDEX(Plan!$D:$D,MATCH(F58,Plan!$A:$A,0)),""))</f>
        <v/>
      </c>
      <c r="I58" s="17" t="n"/>
      <c r="J58" s="17" t="n"/>
      <c r="K58" s="17" t="n"/>
      <c r="L58" s="17" t="n"/>
      <c r="M58" s="17" t="n"/>
      <c r="N58" s="17" t="n"/>
      <c r="O58" s="17" t="n"/>
    </row>
    <row r="59">
      <c r="A59" s="23" t="n"/>
      <c r="B59" s="17" t="n"/>
      <c r="C59" s="17" t="n"/>
      <c r="D59" s="17" t="n"/>
      <c r="E59" s="17" t="n"/>
      <c r="F59" s="17" t="n"/>
      <c r="G59" s="24">
        <f>IF(F59="","",IFERROR(INDEX(Plan!$C:$C,MATCH(F59,Plan!$A:$A,0)),"unknown ID"))</f>
        <v/>
      </c>
      <c r="H59" s="24">
        <f>IF(F59="","",IFERROR(INDEX(Plan!$D:$D,MATCH(F59,Plan!$A:$A,0)),""))</f>
        <v/>
      </c>
      <c r="I59" s="17" t="n"/>
      <c r="J59" s="17" t="n"/>
      <c r="K59" s="17" t="n"/>
      <c r="L59" s="17" t="n"/>
      <c r="M59" s="17" t="n"/>
      <c r="N59" s="17" t="n"/>
      <c r="O59" s="17" t="n"/>
    </row>
    <row r="60">
      <c r="A60" s="23" t="n"/>
      <c r="B60" s="17" t="n"/>
      <c r="C60" s="17" t="n"/>
      <c r="D60" s="17" t="n"/>
      <c r="E60" s="17" t="n"/>
      <c r="F60" s="17" t="n"/>
      <c r="G60" s="24">
        <f>IF(F60="","",IFERROR(INDEX(Plan!$C:$C,MATCH(F60,Plan!$A:$A,0)),"unknown ID"))</f>
        <v/>
      </c>
      <c r="H60" s="24">
        <f>IF(F60="","",IFERROR(INDEX(Plan!$D:$D,MATCH(F60,Plan!$A:$A,0)),""))</f>
        <v/>
      </c>
      <c r="I60" s="17" t="n"/>
      <c r="J60" s="17" t="n"/>
      <c r="K60" s="17" t="n"/>
      <c r="L60" s="17" t="n"/>
      <c r="M60" s="17" t="n"/>
      <c r="N60" s="17" t="n"/>
      <c r="O60" s="17" t="n"/>
    </row>
    <row r="61">
      <c r="A61" s="23" t="n"/>
      <c r="B61" s="17" t="n"/>
      <c r="C61" s="17" t="n"/>
      <c r="D61" s="17" t="n"/>
      <c r="E61" s="17" t="n"/>
      <c r="F61" s="17" t="n"/>
      <c r="G61" s="24">
        <f>IF(F61="","",IFERROR(INDEX(Plan!$C:$C,MATCH(F61,Plan!$A:$A,0)),"unknown ID"))</f>
        <v/>
      </c>
      <c r="H61" s="24">
        <f>IF(F61="","",IFERROR(INDEX(Plan!$D:$D,MATCH(F61,Plan!$A:$A,0)),""))</f>
        <v/>
      </c>
      <c r="I61" s="17" t="n"/>
      <c r="J61" s="17" t="n"/>
      <c r="K61" s="17" t="n"/>
      <c r="L61" s="17" t="n"/>
      <c r="M61" s="17" t="n"/>
      <c r="N61" s="17" t="n"/>
      <c r="O61" s="17" t="n"/>
    </row>
    <row r="62">
      <c r="A62" s="23" t="n"/>
      <c r="B62" s="17" t="n"/>
      <c r="C62" s="17" t="n"/>
      <c r="D62" s="17" t="n"/>
      <c r="E62" s="17" t="n"/>
      <c r="F62" s="17" t="n"/>
      <c r="G62" s="24">
        <f>IF(F62="","",IFERROR(INDEX(Plan!$C:$C,MATCH(F62,Plan!$A:$A,0)),"unknown ID"))</f>
        <v/>
      </c>
      <c r="H62" s="24">
        <f>IF(F62="","",IFERROR(INDEX(Plan!$D:$D,MATCH(F62,Plan!$A:$A,0)),""))</f>
        <v/>
      </c>
      <c r="I62" s="17" t="n"/>
      <c r="J62" s="17" t="n"/>
      <c r="K62" s="17" t="n"/>
      <c r="L62" s="17" t="n"/>
      <c r="M62" s="17" t="n"/>
      <c r="N62" s="17" t="n"/>
      <c r="O62" s="17" t="n"/>
    </row>
    <row r="63">
      <c r="A63" s="23" t="n"/>
      <c r="B63" s="17" t="n"/>
      <c r="C63" s="17" t="n"/>
      <c r="D63" s="17" t="n"/>
      <c r="E63" s="17" t="n"/>
      <c r="F63" s="17" t="n"/>
      <c r="G63" s="24">
        <f>IF(F63="","",IFERROR(INDEX(Plan!$C:$C,MATCH(F63,Plan!$A:$A,0)),"unknown ID"))</f>
        <v/>
      </c>
      <c r="H63" s="24">
        <f>IF(F63="","",IFERROR(INDEX(Plan!$D:$D,MATCH(F63,Plan!$A:$A,0)),""))</f>
        <v/>
      </c>
      <c r="I63" s="17" t="n"/>
      <c r="J63" s="17" t="n"/>
      <c r="K63" s="17" t="n"/>
      <c r="L63" s="17" t="n"/>
      <c r="M63" s="17" t="n"/>
      <c r="N63" s="17" t="n"/>
      <c r="O63" s="17" t="n"/>
    </row>
    <row r="64">
      <c r="A64" s="23" t="n"/>
      <c r="B64" s="17" t="n"/>
      <c r="C64" s="17" t="n"/>
      <c r="D64" s="17" t="n"/>
      <c r="E64" s="17" t="n"/>
      <c r="F64" s="17" t="n"/>
      <c r="G64" s="24">
        <f>IF(F64="","",IFERROR(INDEX(Plan!$C:$C,MATCH(F64,Plan!$A:$A,0)),"unknown ID"))</f>
        <v/>
      </c>
      <c r="H64" s="24">
        <f>IF(F64="","",IFERROR(INDEX(Plan!$D:$D,MATCH(F64,Plan!$A:$A,0)),""))</f>
        <v/>
      </c>
      <c r="I64" s="17" t="n"/>
      <c r="J64" s="17" t="n"/>
      <c r="K64" s="17" t="n"/>
      <c r="L64" s="17" t="n"/>
      <c r="M64" s="17" t="n"/>
      <c r="N64" s="17" t="n"/>
      <c r="O64" s="17" t="n"/>
    </row>
    <row r="65">
      <c r="A65" s="23" t="n"/>
      <c r="B65" s="17" t="n"/>
      <c r="C65" s="17" t="n"/>
      <c r="D65" s="17" t="n"/>
      <c r="E65" s="17" t="n"/>
      <c r="F65" s="17" t="n"/>
      <c r="G65" s="24">
        <f>IF(F65="","",IFERROR(INDEX(Plan!$C:$C,MATCH(F65,Plan!$A:$A,0)),"unknown ID"))</f>
        <v/>
      </c>
      <c r="H65" s="24">
        <f>IF(F65="","",IFERROR(INDEX(Plan!$D:$D,MATCH(F65,Plan!$A:$A,0)),""))</f>
        <v/>
      </c>
      <c r="I65" s="17" t="n"/>
      <c r="J65" s="17" t="n"/>
      <c r="K65" s="17" t="n"/>
      <c r="L65" s="17" t="n"/>
      <c r="M65" s="17" t="n"/>
      <c r="N65" s="17" t="n"/>
      <c r="O65" s="17" t="n"/>
    </row>
    <row r="66">
      <c r="A66" s="23" t="n"/>
      <c r="B66" s="17" t="n"/>
      <c r="C66" s="17" t="n"/>
      <c r="D66" s="17" t="n"/>
      <c r="E66" s="17" t="n"/>
      <c r="F66" s="17" t="n"/>
      <c r="G66" s="24">
        <f>IF(F66="","",IFERROR(INDEX(Plan!$C:$C,MATCH(F66,Plan!$A:$A,0)),"unknown ID"))</f>
        <v/>
      </c>
      <c r="H66" s="24">
        <f>IF(F66="","",IFERROR(INDEX(Plan!$D:$D,MATCH(F66,Plan!$A:$A,0)),""))</f>
        <v/>
      </c>
      <c r="I66" s="17" t="n"/>
      <c r="J66" s="17" t="n"/>
      <c r="K66" s="17" t="n"/>
      <c r="L66" s="17" t="n"/>
      <c r="M66" s="17" t="n"/>
      <c r="N66" s="17" t="n"/>
      <c r="O66" s="17" t="n"/>
    </row>
    <row r="67">
      <c r="A67" s="23" t="n"/>
      <c r="B67" s="17" t="n"/>
      <c r="C67" s="17" t="n"/>
      <c r="D67" s="17" t="n"/>
      <c r="E67" s="17" t="n"/>
      <c r="F67" s="17" t="n"/>
      <c r="G67" s="24">
        <f>IF(F67="","",IFERROR(INDEX(Plan!$C:$C,MATCH(F67,Plan!$A:$A,0)),"unknown ID"))</f>
        <v/>
      </c>
      <c r="H67" s="24">
        <f>IF(F67="","",IFERROR(INDEX(Plan!$D:$D,MATCH(F67,Plan!$A:$A,0)),""))</f>
        <v/>
      </c>
      <c r="I67" s="17" t="n"/>
      <c r="J67" s="17" t="n"/>
      <c r="K67" s="17" t="n"/>
      <c r="L67" s="17" t="n"/>
      <c r="M67" s="17" t="n"/>
      <c r="N67" s="17" t="n"/>
      <c r="O67" s="17" t="n"/>
    </row>
    <row r="68">
      <c r="A68" s="23" t="n"/>
      <c r="B68" s="17" t="n"/>
      <c r="C68" s="17" t="n"/>
      <c r="D68" s="17" t="n"/>
      <c r="E68" s="17" t="n"/>
      <c r="F68" s="17" t="n"/>
      <c r="G68" s="24">
        <f>IF(F68="","",IFERROR(INDEX(Plan!$C:$C,MATCH(F68,Plan!$A:$A,0)),"unknown ID"))</f>
        <v/>
      </c>
      <c r="H68" s="24">
        <f>IF(F68="","",IFERROR(INDEX(Plan!$D:$D,MATCH(F68,Plan!$A:$A,0)),""))</f>
        <v/>
      </c>
      <c r="I68" s="17" t="n"/>
      <c r="J68" s="17" t="n"/>
      <c r="K68" s="17" t="n"/>
      <c r="L68" s="17" t="n"/>
      <c r="M68" s="17" t="n"/>
      <c r="N68" s="17" t="n"/>
      <c r="O68" s="17" t="n"/>
    </row>
    <row r="69">
      <c r="A69" s="23" t="n"/>
      <c r="B69" s="17" t="n"/>
      <c r="C69" s="17" t="n"/>
      <c r="D69" s="17" t="n"/>
      <c r="E69" s="17" t="n"/>
      <c r="F69" s="17" t="n"/>
      <c r="G69" s="24">
        <f>IF(F69="","",IFERROR(INDEX(Plan!$C:$C,MATCH(F69,Plan!$A:$A,0)),"unknown ID"))</f>
        <v/>
      </c>
      <c r="H69" s="24">
        <f>IF(F69="","",IFERROR(INDEX(Plan!$D:$D,MATCH(F69,Plan!$A:$A,0)),""))</f>
        <v/>
      </c>
      <c r="I69" s="17" t="n"/>
      <c r="J69" s="17" t="n"/>
      <c r="K69" s="17" t="n"/>
      <c r="L69" s="17" t="n"/>
      <c r="M69" s="17" t="n"/>
      <c r="N69" s="17" t="n"/>
      <c r="O69" s="17" t="n"/>
    </row>
    <row r="70">
      <c r="A70" s="23" t="n"/>
      <c r="B70" s="17" t="n"/>
      <c r="C70" s="17" t="n"/>
      <c r="D70" s="17" t="n"/>
      <c r="E70" s="17" t="n"/>
      <c r="F70" s="17" t="n"/>
      <c r="G70" s="24">
        <f>IF(F70="","",IFERROR(INDEX(Plan!$C:$C,MATCH(F70,Plan!$A:$A,0)),"unknown ID"))</f>
        <v/>
      </c>
      <c r="H70" s="24">
        <f>IF(F70="","",IFERROR(INDEX(Plan!$D:$D,MATCH(F70,Plan!$A:$A,0)),""))</f>
        <v/>
      </c>
      <c r="I70" s="17" t="n"/>
      <c r="J70" s="17" t="n"/>
      <c r="K70" s="17" t="n"/>
      <c r="L70" s="17" t="n"/>
      <c r="M70" s="17" t="n"/>
      <c r="N70" s="17" t="n"/>
      <c r="O70" s="17" t="n"/>
    </row>
    <row r="71">
      <c r="A71" s="23" t="n"/>
      <c r="B71" s="17" t="n"/>
      <c r="C71" s="17" t="n"/>
      <c r="D71" s="17" t="n"/>
      <c r="E71" s="17" t="n"/>
      <c r="F71" s="17" t="n"/>
      <c r="G71" s="24">
        <f>IF(F71="","",IFERROR(INDEX(Plan!$C:$C,MATCH(F71,Plan!$A:$A,0)),"unknown ID"))</f>
        <v/>
      </c>
      <c r="H71" s="24">
        <f>IF(F71="","",IFERROR(INDEX(Plan!$D:$D,MATCH(F71,Plan!$A:$A,0)),""))</f>
        <v/>
      </c>
      <c r="I71" s="17" t="n"/>
      <c r="J71" s="17" t="n"/>
      <c r="K71" s="17" t="n"/>
      <c r="L71" s="17" t="n"/>
      <c r="M71" s="17" t="n"/>
      <c r="N71" s="17" t="n"/>
      <c r="O71" s="17" t="n"/>
    </row>
    <row r="72">
      <c r="A72" s="23" t="n"/>
      <c r="B72" s="17" t="n"/>
      <c r="C72" s="17" t="n"/>
      <c r="D72" s="17" t="n"/>
      <c r="E72" s="17" t="n"/>
      <c r="F72" s="17" t="n"/>
      <c r="G72" s="24">
        <f>IF(F72="","",IFERROR(INDEX(Plan!$C:$C,MATCH(F72,Plan!$A:$A,0)),"unknown ID"))</f>
        <v/>
      </c>
      <c r="H72" s="24">
        <f>IF(F72="","",IFERROR(INDEX(Plan!$D:$D,MATCH(F72,Plan!$A:$A,0)),""))</f>
        <v/>
      </c>
      <c r="I72" s="17" t="n"/>
      <c r="J72" s="17" t="n"/>
      <c r="K72" s="17" t="n"/>
      <c r="L72" s="17" t="n"/>
      <c r="M72" s="17" t="n"/>
      <c r="N72" s="17" t="n"/>
      <c r="O72" s="17" t="n"/>
    </row>
    <row r="73">
      <c r="A73" s="23" t="n"/>
      <c r="B73" s="17" t="n"/>
      <c r="C73" s="17" t="n"/>
      <c r="D73" s="17" t="n"/>
      <c r="E73" s="17" t="n"/>
      <c r="F73" s="17" t="n"/>
      <c r="G73" s="24">
        <f>IF(F73="","",IFERROR(INDEX(Plan!$C:$C,MATCH(F73,Plan!$A:$A,0)),"unknown ID"))</f>
        <v/>
      </c>
      <c r="H73" s="24">
        <f>IF(F73="","",IFERROR(INDEX(Plan!$D:$D,MATCH(F73,Plan!$A:$A,0)),""))</f>
        <v/>
      </c>
      <c r="I73" s="17" t="n"/>
      <c r="J73" s="17" t="n"/>
      <c r="K73" s="17" t="n"/>
      <c r="L73" s="17" t="n"/>
      <c r="M73" s="17" t="n"/>
      <c r="N73" s="17" t="n"/>
      <c r="O73" s="17" t="n"/>
    </row>
    <row r="74">
      <c r="A74" s="23" t="n"/>
      <c r="B74" s="17" t="n"/>
      <c r="C74" s="17" t="n"/>
      <c r="D74" s="17" t="n"/>
      <c r="E74" s="17" t="n"/>
      <c r="F74" s="17" t="n"/>
      <c r="G74" s="24">
        <f>IF(F74="","",IFERROR(INDEX(Plan!$C:$C,MATCH(F74,Plan!$A:$A,0)),"unknown ID"))</f>
        <v/>
      </c>
      <c r="H74" s="24">
        <f>IF(F74="","",IFERROR(INDEX(Plan!$D:$D,MATCH(F74,Plan!$A:$A,0)),""))</f>
        <v/>
      </c>
      <c r="I74" s="17" t="n"/>
      <c r="J74" s="17" t="n"/>
      <c r="K74" s="17" t="n"/>
      <c r="L74" s="17" t="n"/>
      <c r="M74" s="17" t="n"/>
      <c r="N74" s="17" t="n"/>
      <c r="O74" s="17" t="n"/>
    </row>
    <row r="75">
      <c r="A75" s="23" t="n"/>
      <c r="B75" s="17" t="n"/>
      <c r="C75" s="17" t="n"/>
      <c r="D75" s="17" t="n"/>
      <c r="E75" s="17" t="n"/>
      <c r="F75" s="17" t="n"/>
      <c r="G75" s="24">
        <f>IF(F75="","",IFERROR(INDEX(Plan!$C:$C,MATCH(F75,Plan!$A:$A,0)),"unknown ID"))</f>
        <v/>
      </c>
      <c r="H75" s="24">
        <f>IF(F75="","",IFERROR(INDEX(Plan!$D:$D,MATCH(F75,Plan!$A:$A,0)),""))</f>
        <v/>
      </c>
      <c r="I75" s="17" t="n"/>
      <c r="J75" s="17" t="n"/>
      <c r="K75" s="17" t="n"/>
      <c r="L75" s="17" t="n"/>
      <c r="M75" s="17" t="n"/>
      <c r="N75" s="17" t="n"/>
      <c r="O75" s="17" t="n"/>
    </row>
    <row r="76">
      <c r="A76" s="23" t="n"/>
      <c r="B76" s="17" t="n"/>
      <c r="C76" s="17" t="n"/>
      <c r="D76" s="17" t="n"/>
      <c r="E76" s="17" t="n"/>
      <c r="F76" s="17" t="n"/>
      <c r="G76" s="24">
        <f>IF(F76="","",IFERROR(INDEX(Plan!$C:$C,MATCH(F76,Plan!$A:$A,0)),"unknown ID"))</f>
        <v/>
      </c>
      <c r="H76" s="24">
        <f>IF(F76="","",IFERROR(INDEX(Plan!$D:$D,MATCH(F76,Plan!$A:$A,0)),""))</f>
        <v/>
      </c>
      <c r="I76" s="17" t="n"/>
      <c r="J76" s="17" t="n"/>
      <c r="K76" s="17" t="n"/>
      <c r="L76" s="17" t="n"/>
      <c r="M76" s="17" t="n"/>
      <c r="N76" s="17" t="n"/>
      <c r="O76" s="17" t="n"/>
    </row>
    <row r="77">
      <c r="A77" s="23" t="n"/>
      <c r="B77" s="17" t="n"/>
      <c r="C77" s="17" t="n"/>
      <c r="D77" s="17" t="n"/>
      <c r="E77" s="17" t="n"/>
      <c r="F77" s="17" t="n"/>
      <c r="G77" s="24">
        <f>IF(F77="","",IFERROR(INDEX(Plan!$C:$C,MATCH(F77,Plan!$A:$A,0)),"unknown ID"))</f>
        <v/>
      </c>
      <c r="H77" s="24">
        <f>IF(F77="","",IFERROR(INDEX(Plan!$D:$D,MATCH(F77,Plan!$A:$A,0)),""))</f>
        <v/>
      </c>
      <c r="I77" s="17" t="n"/>
      <c r="J77" s="17" t="n"/>
      <c r="K77" s="17" t="n"/>
      <c r="L77" s="17" t="n"/>
      <c r="M77" s="17" t="n"/>
      <c r="N77" s="17" t="n"/>
      <c r="O77" s="17" t="n"/>
    </row>
    <row r="78">
      <c r="A78" s="23" t="n"/>
      <c r="B78" s="17" t="n"/>
      <c r="C78" s="17" t="n"/>
      <c r="D78" s="17" t="n"/>
      <c r="E78" s="17" t="n"/>
      <c r="F78" s="17" t="n"/>
      <c r="G78" s="24">
        <f>IF(F78="","",IFERROR(INDEX(Plan!$C:$C,MATCH(F78,Plan!$A:$A,0)),"unknown ID"))</f>
        <v/>
      </c>
      <c r="H78" s="24">
        <f>IF(F78="","",IFERROR(INDEX(Plan!$D:$D,MATCH(F78,Plan!$A:$A,0)),""))</f>
        <v/>
      </c>
      <c r="I78" s="17" t="n"/>
      <c r="J78" s="17" t="n"/>
      <c r="K78" s="17" t="n"/>
      <c r="L78" s="17" t="n"/>
      <c r="M78" s="17" t="n"/>
      <c r="N78" s="17" t="n"/>
      <c r="O78" s="17" t="n"/>
    </row>
    <row r="79">
      <c r="A79" s="23" t="n"/>
      <c r="B79" s="17" t="n"/>
      <c r="C79" s="17" t="n"/>
      <c r="D79" s="17" t="n"/>
      <c r="E79" s="17" t="n"/>
      <c r="F79" s="17" t="n"/>
      <c r="G79" s="24">
        <f>IF(F79="","",IFERROR(INDEX(Plan!$C:$C,MATCH(F79,Plan!$A:$A,0)),"unknown ID"))</f>
        <v/>
      </c>
      <c r="H79" s="24">
        <f>IF(F79="","",IFERROR(INDEX(Plan!$D:$D,MATCH(F79,Plan!$A:$A,0)),""))</f>
        <v/>
      </c>
      <c r="I79" s="17" t="n"/>
      <c r="J79" s="17" t="n"/>
      <c r="K79" s="17" t="n"/>
      <c r="L79" s="17" t="n"/>
      <c r="M79" s="17" t="n"/>
      <c r="N79" s="17" t="n"/>
      <c r="O79" s="17" t="n"/>
    </row>
    <row r="80">
      <c r="A80" s="23" t="n"/>
      <c r="B80" s="17" t="n"/>
      <c r="C80" s="17" t="n"/>
      <c r="D80" s="17" t="n"/>
      <c r="E80" s="17" t="n"/>
      <c r="F80" s="17" t="n"/>
      <c r="G80" s="24">
        <f>IF(F80="","",IFERROR(INDEX(Plan!$C:$C,MATCH(F80,Plan!$A:$A,0)),"unknown ID"))</f>
        <v/>
      </c>
      <c r="H80" s="24">
        <f>IF(F80="","",IFERROR(INDEX(Plan!$D:$D,MATCH(F80,Plan!$A:$A,0)),""))</f>
        <v/>
      </c>
      <c r="I80" s="17" t="n"/>
      <c r="J80" s="17" t="n"/>
      <c r="K80" s="17" t="n"/>
      <c r="L80" s="17" t="n"/>
      <c r="M80" s="17" t="n"/>
      <c r="N80" s="17" t="n"/>
      <c r="O80" s="17" t="n"/>
    </row>
    <row r="81">
      <c r="A81" s="23" t="n"/>
      <c r="B81" s="17" t="n"/>
      <c r="C81" s="17" t="n"/>
      <c r="D81" s="17" t="n"/>
      <c r="E81" s="17" t="n"/>
      <c r="F81" s="17" t="n"/>
      <c r="G81" s="24">
        <f>IF(F81="","",IFERROR(INDEX(Plan!$C:$C,MATCH(F81,Plan!$A:$A,0)),"unknown ID"))</f>
        <v/>
      </c>
      <c r="H81" s="24">
        <f>IF(F81="","",IFERROR(INDEX(Plan!$D:$D,MATCH(F81,Plan!$A:$A,0)),""))</f>
        <v/>
      </c>
      <c r="I81" s="17" t="n"/>
      <c r="J81" s="17" t="n"/>
      <c r="K81" s="17" t="n"/>
      <c r="L81" s="17" t="n"/>
      <c r="M81" s="17" t="n"/>
      <c r="N81" s="17" t="n"/>
      <c r="O81" s="17" t="n"/>
    </row>
    <row r="82">
      <c r="A82" s="23" t="n"/>
      <c r="B82" s="17" t="n"/>
      <c r="C82" s="17" t="n"/>
      <c r="D82" s="17" t="n"/>
      <c r="E82" s="17" t="n"/>
      <c r="F82" s="17" t="n"/>
      <c r="G82" s="24">
        <f>IF(F82="","",IFERROR(INDEX(Plan!$C:$C,MATCH(F82,Plan!$A:$A,0)),"unknown ID"))</f>
        <v/>
      </c>
      <c r="H82" s="24">
        <f>IF(F82="","",IFERROR(INDEX(Plan!$D:$D,MATCH(F82,Plan!$A:$A,0)),""))</f>
        <v/>
      </c>
      <c r="I82" s="17" t="n"/>
      <c r="J82" s="17" t="n"/>
      <c r="K82" s="17" t="n"/>
      <c r="L82" s="17" t="n"/>
      <c r="M82" s="17" t="n"/>
      <c r="N82" s="17" t="n"/>
      <c r="O82" s="17" t="n"/>
    </row>
    <row r="83">
      <c r="A83" s="23" t="n"/>
      <c r="B83" s="17" t="n"/>
      <c r="C83" s="17" t="n"/>
      <c r="D83" s="17" t="n"/>
      <c r="E83" s="17" t="n"/>
      <c r="F83" s="17" t="n"/>
      <c r="G83" s="24">
        <f>IF(F83="","",IFERROR(INDEX(Plan!$C:$C,MATCH(F83,Plan!$A:$A,0)),"unknown ID"))</f>
        <v/>
      </c>
      <c r="H83" s="24">
        <f>IF(F83="","",IFERROR(INDEX(Plan!$D:$D,MATCH(F83,Plan!$A:$A,0)),""))</f>
        <v/>
      </c>
      <c r="I83" s="17" t="n"/>
      <c r="J83" s="17" t="n"/>
      <c r="K83" s="17" t="n"/>
      <c r="L83" s="17" t="n"/>
      <c r="M83" s="17" t="n"/>
      <c r="N83" s="17" t="n"/>
      <c r="O83" s="17" t="n"/>
    </row>
    <row r="84">
      <c r="A84" s="23" t="n"/>
      <c r="B84" s="17" t="n"/>
      <c r="C84" s="17" t="n"/>
      <c r="D84" s="17" t="n"/>
      <c r="E84" s="17" t="n"/>
      <c r="F84" s="17" t="n"/>
      <c r="G84" s="24">
        <f>IF(F84="","",IFERROR(INDEX(Plan!$C:$C,MATCH(F84,Plan!$A:$A,0)),"unknown ID"))</f>
        <v/>
      </c>
      <c r="H84" s="24">
        <f>IF(F84="","",IFERROR(INDEX(Plan!$D:$D,MATCH(F84,Plan!$A:$A,0)),""))</f>
        <v/>
      </c>
      <c r="I84" s="17" t="n"/>
      <c r="J84" s="17" t="n"/>
      <c r="K84" s="17" t="n"/>
      <c r="L84" s="17" t="n"/>
      <c r="M84" s="17" t="n"/>
      <c r="N84" s="17" t="n"/>
      <c r="O84" s="17" t="n"/>
    </row>
    <row r="85">
      <c r="A85" s="23" t="n"/>
      <c r="B85" s="17" t="n"/>
      <c r="C85" s="17" t="n"/>
      <c r="D85" s="17" t="n"/>
      <c r="E85" s="17" t="n"/>
      <c r="F85" s="17" t="n"/>
      <c r="G85" s="24">
        <f>IF(F85="","",IFERROR(INDEX(Plan!$C:$C,MATCH(F85,Plan!$A:$A,0)),"unknown ID"))</f>
        <v/>
      </c>
      <c r="H85" s="24">
        <f>IF(F85="","",IFERROR(INDEX(Plan!$D:$D,MATCH(F85,Plan!$A:$A,0)),""))</f>
        <v/>
      </c>
      <c r="I85" s="17" t="n"/>
      <c r="J85" s="17" t="n"/>
      <c r="K85" s="17" t="n"/>
      <c r="L85" s="17" t="n"/>
      <c r="M85" s="17" t="n"/>
      <c r="N85" s="17" t="n"/>
      <c r="O85" s="17" t="n"/>
    </row>
    <row r="86">
      <c r="A86" s="23" t="n"/>
      <c r="B86" s="17" t="n"/>
      <c r="C86" s="17" t="n"/>
      <c r="D86" s="17" t="n"/>
      <c r="E86" s="17" t="n"/>
      <c r="F86" s="17" t="n"/>
      <c r="G86" s="24">
        <f>IF(F86="","",IFERROR(INDEX(Plan!$C:$C,MATCH(F86,Plan!$A:$A,0)),"unknown ID"))</f>
        <v/>
      </c>
      <c r="H86" s="24">
        <f>IF(F86="","",IFERROR(INDEX(Plan!$D:$D,MATCH(F86,Plan!$A:$A,0)),""))</f>
        <v/>
      </c>
      <c r="I86" s="17" t="n"/>
      <c r="J86" s="17" t="n"/>
      <c r="K86" s="17" t="n"/>
      <c r="L86" s="17" t="n"/>
      <c r="M86" s="17" t="n"/>
      <c r="N86" s="17" t="n"/>
      <c r="O86" s="17" t="n"/>
    </row>
    <row r="87">
      <c r="A87" s="23" t="n"/>
      <c r="B87" s="17" t="n"/>
      <c r="C87" s="17" t="n"/>
      <c r="D87" s="17" t="n"/>
      <c r="E87" s="17" t="n"/>
      <c r="F87" s="17" t="n"/>
      <c r="G87" s="24">
        <f>IF(F87="","",IFERROR(INDEX(Plan!$C:$C,MATCH(F87,Plan!$A:$A,0)),"unknown ID"))</f>
        <v/>
      </c>
      <c r="H87" s="24">
        <f>IF(F87="","",IFERROR(INDEX(Plan!$D:$D,MATCH(F87,Plan!$A:$A,0)),""))</f>
        <v/>
      </c>
      <c r="I87" s="17" t="n"/>
      <c r="J87" s="17" t="n"/>
      <c r="K87" s="17" t="n"/>
      <c r="L87" s="17" t="n"/>
      <c r="M87" s="17" t="n"/>
      <c r="N87" s="17" t="n"/>
      <c r="O87" s="17" t="n"/>
    </row>
    <row r="88">
      <c r="A88" s="23" t="n"/>
      <c r="B88" s="17" t="n"/>
      <c r="C88" s="17" t="n"/>
      <c r="D88" s="17" t="n"/>
      <c r="E88" s="17" t="n"/>
      <c r="F88" s="17" t="n"/>
      <c r="G88" s="24">
        <f>IF(F88="","",IFERROR(INDEX(Plan!$C:$C,MATCH(F88,Plan!$A:$A,0)),"unknown ID"))</f>
        <v/>
      </c>
      <c r="H88" s="24">
        <f>IF(F88="","",IFERROR(INDEX(Plan!$D:$D,MATCH(F88,Plan!$A:$A,0)),""))</f>
        <v/>
      </c>
      <c r="I88" s="17" t="n"/>
      <c r="J88" s="17" t="n"/>
      <c r="K88" s="17" t="n"/>
      <c r="L88" s="17" t="n"/>
      <c r="M88" s="17" t="n"/>
      <c r="N88" s="17" t="n"/>
      <c r="O88" s="17" t="n"/>
    </row>
    <row r="89">
      <c r="A89" s="23" t="n"/>
      <c r="B89" s="17" t="n"/>
      <c r="C89" s="17" t="n"/>
      <c r="D89" s="17" t="n"/>
      <c r="E89" s="17" t="n"/>
      <c r="F89" s="17" t="n"/>
      <c r="G89" s="24">
        <f>IF(F89="","",IFERROR(INDEX(Plan!$C:$C,MATCH(F89,Plan!$A:$A,0)),"unknown ID"))</f>
        <v/>
      </c>
      <c r="H89" s="24">
        <f>IF(F89="","",IFERROR(INDEX(Plan!$D:$D,MATCH(F89,Plan!$A:$A,0)),""))</f>
        <v/>
      </c>
      <c r="I89" s="17" t="n"/>
      <c r="J89" s="17" t="n"/>
      <c r="K89" s="17" t="n"/>
      <c r="L89" s="17" t="n"/>
      <c r="M89" s="17" t="n"/>
      <c r="N89" s="17" t="n"/>
      <c r="O89" s="17" t="n"/>
    </row>
    <row r="90">
      <c r="A90" s="23" t="n"/>
      <c r="B90" s="17" t="n"/>
      <c r="C90" s="17" t="n"/>
      <c r="D90" s="17" t="n"/>
      <c r="E90" s="17" t="n"/>
      <c r="F90" s="17" t="n"/>
      <c r="G90" s="24">
        <f>IF(F90="","",IFERROR(INDEX(Plan!$C:$C,MATCH(F90,Plan!$A:$A,0)),"unknown ID"))</f>
        <v/>
      </c>
      <c r="H90" s="24">
        <f>IF(F90="","",IFERROR(INDEX(Plan!$D:$D,MATCH(F90,Plan!$A:$A,0)),""))</f>
        <v/>
      </c>
      <c r="I90" s="17" t="n"/>
      <c r="J90" s="17" t="n"/>
      <c r="K90" s="17" t="n"/>
      <c r="L90" s="17" t="n"/>
      <c r="M90" s="17" t="n"/>
      <c r="N90" s="17" t="n"/>
      <c r="O90" s="17" t="n"/>
    </row>
    <row r="91">
      <c r="A91" s="23" t="n"/>
      <c r="B91" s="17" t="n"/>
      <c r="C91" s="17" t="n"/>
      <c r="D91" s="17" t="n"/>
      <c r="E91" s="17" t="n"/>
      <c r="F91" s="17" t="n"/>
      <c r="G91" s="24">
        <f>IF(F91="","",IFERROR(INDEX(Plan!$C:$C,MATCH(F91,Plan!$A:$A,0)),"unknown ID"))</f>
        <v/>
      </c>
      <c r="H91" s="24">
        <f>IF(F91="","",IFERROR(INDEX(Plan!$D:$D,MATCH(F91,Plan!$A:$A,0)),""))</f>
        <v/>
      </c>
      <c r="I91" s="17" t="n"/>
      <c r="J91" s="17" t="n"/>
      <c r="K91" s="17" t="n"/>
      <c r="L91" s="17" t="n"/>
      <c r="M91" s="17" t="n"/>
      <c r="N91" s="17" t="n"/>
      <c r="O91" s="17" t="n"/>
    </row>
    <row r="92">
      <c r="A92" s="23" t="n"/>
      <c r="B92" s="17" t="n"/>
      <c r="C92" s="17" t="n"/>
      <c r="D92" s="17" t="n"/>
      <c r="E92" s="17" t="n"/>
      <c r="F92" s="17" t="n"/>
      <c r="G92" s="24">
        <f>IF(F92="","",IFERROR(INDEX(Plan!$C:$C,MATCH(F92,Plan!$A:$A,0)),"unknown ID"))</f>
        <v/>
      </c>
      <c r="H92" s="24">
        <f>IF(F92="","",IFERROR(INDEX(Plan!$D:$D,MATCH(F92,Plan!$A:$A,0)),""))</f>
        <v/>
      </c>
      <c r="I92" s="17" t="n"/>
      <c r="J92" s="17" t="n"/>
      <c r="K92" s="17" t="n"/>
      <c r="L92" s="17" t="n"/>
      <c r="M92" s="17" t="n"/>
      <c r="N92" s="17" t="n"/>
      <c r="O92" s="17" t="n"/>
    </row>
    <row r="93">
      <c r="A93" s="23" t="n"/>
      <c r="B93" s="17" t="n"/>
      <c r="C93" s="17" t="n"/>
      <c r="D93" s="17" t="n"/>
      <c r="E93" s="17" t="n"/>
      <c r="F93" s="17" t="n"/>
      <c r="G93" s="24">
        <f>IF(F93="","",IFERROR(INDEX(Plan!$C:$C,MATCH(F93,Plan!$A:$A,0)),"unknown ID"))</f>
        <v/>
      </c>
      <c r="H93" s="24">
        <f>IF(F93="","",IFERROR(INDEX(Plan!$D:$D,MATCH(F93,Plan!$A:$A,0)),""))</f>
        <v/>
      </c>
      <c r="I93" s="17" t="n"/>
      <c r="J93" s="17" t="n"/>
      <c r="K93" s="17" t="n"/>
      <c r="L93" s="17" t="n"/>
      <c r="M93" s="17" t="n"/>
      <c r="N93" s="17" t="n"/>
      <c r="O93" s="17" t="n"/>
    </row>
    <row r="94">
      <c r="A94" s="23" t="n"/>
      <c r="B94" s="17" t="n"/>
      <c r="C94" s="17" t="n"/>
      <c r="D94" s="17" t="n"/>
      <c r="E94" s="17" t="n"/>
      <c r="F94" s="17" t="n"/>
      <c r="G94" s="24">
        <f>IF(F94="","",IFERROR(INDEX(Plan!$C:$C,MATCH(F94,Plan!$A:$A,0)),"unknown ID"))</f>
        <v/>
      </c>
      <c r="H94" s="24">
        <f>IF(F94="","",IFERROR(INDEX(Plan!$D:$D,MATCH(F94,Plan!$A:$A,0)),""))</f>
        <v/>
      </c>
      <c r="I94" s="17" t="n"/>
      <c r="J94" s="17" t="n"/>
      <c r="K94" s="17" t="n"/>
      <c r="L94" s="17" t="n"/>
      <c r="M94" s="17" t="n"/>
      <c r="N94" s="17" t="n"/>
      <c r="O94" s="17" t="n"/>
    </row>
    <row r="95">
      <c r="A95" s="23" t="n"/>
      <c r="B95" s="17" t="n"/>
      <c r="C95" s="17" t="n"/>
      <c r="D95" s="17" t="n"/>
      <c r="E95" s="17" t="n"/>
      <c r="F95" s="17" t="n"/>
      <c r="G95" s="24">
        <f>IF(F95="","",IFERROR(INDEX(Plan!$C:$C,MATCH(F95,Plan!$A:$A,0)),"unknown ID"))</f>
        <v/>
      </c>
      <c r="H95" s="24">
        <f>IF(F95="","",IFERROR(INDEX(Plan!$D:$D,MATCH(F95,Plan!$A:$A,0)),""))</f>
        <v/>
      </c>
      <c r="I95" s="17" t="n"/>
      <c r="J95" s="17" t="n"/>
      <c r="K95" s="17" t="n"/>
      <c r="L95" s="17" t="n"/>
      <c r="M95" s="17" t="n"/>
      <c r="N95" s="17" t="n"/>
      <c r="O95" s="17" t="n"/>
    </row>
    <row r="96">
      <c r="A96" s="23" t="n"/>
      <c r="B96" s="17" t="n"/>
      <c r="C96" s="17" t="n"/>
      <c r="D96" s="17" t="n"/>
      <c r="E96" s="17" t="n"/>
      <c r="F96" s="17" t="n"/>
      <c r="G96" s="24">
        <f>IF(F96="","",IFERROR(INDEX(Plan!$C:$C,MATCH(F96,Plan!$A:$A,0)),"unknown ID"))</f>
        <v/>
      </c>
      <c r="H96" s="24">
        <f>IF(F96="","",IFERROR(INDEX(Plan!$D:$D,MATCH(F96,Plan!$A:$A,0)),""))</f>
        <v/>
      </c>
      <c r="I96" s="17" t="n"/>
      <c r="J96" s="17" t="n"/>
      <c r="K96" s="17" t="n"/>
      <c r="L96" s="17" t="n"/>
      <c r="M96" s="17" t="n"/>
      <c r="N96" s="17" t="n"/>
      <c r="O96" s="17" t="n"/>
    </row>
    <row r="97">
      <c r="A97" s="23" t="n"/>
      <c r="B97" s="17" t="n"/>
      <c r="C97" s="17" t="n"/>
      <c r="D97" s="17" t="n"/>
      <c r="E97" s="17" t="n"/>
      <c r="F97" s="17" t="n"/>
      <c r="G97" s="24">
        <f>IF(F97="","",IFERROR(INDEX(Plan!$C:$C,MATCH(F97,Plan!$A:$A,0)),"unknown ID"))</f>
        <v/>
      </c>
      <c r="H97" s="24">
        <f>IF(F97="","",IFERROR(INDEX(Plan!$D:$D,MATCH(F97,Plan!$A:$A,0)),""))</f>
        <v/>
      </c>
      <c r="I97" s="17" t="n"/>
      <c r="J97" s="17" t="n"/>
      <c r="K97" s="17" t="n"/>
      <c r="L97" s="17" t="n"/>
      <c r="M97" s="17" t="n"/>
      <c r="N97" s="17" t="n"/>
      <c r="O97" s="17" t="n"/>
    </row>
    <row r="98">
      <c r="A98" s="23" t="n"/>
      <c r="B98" s="17" t="n"/>
      <c r="C98" s="17" t="n"/>
      <c r="D98" s="17" t="n"/>
      <c r="E98" s="17" t="n"/>
      <c r="F98" s="17" t="n"/>
      <c r="G98" s="24">
        <f>IF(F98="","",IFERROR(INDEX(Plan!$C:$C,MATCH(F98,Plan!$A:$A,0)),"unknown ID"))</f>
        <v/>
      </c>
      <c r="H98" s="24">
        <f>IF(F98="","",IFERROR(INDEX(Plan!$D:$D,MATCH(F98,Plan!$A:$A,0)),""))</f>
        <v/>
      </c>
      <c r="I98" s="17" t="n"/>
      <c r="J98" s="17" t="n"/>
      <c r="K98" s="17" t="n"/>
      <c r="L98" s="17" t="n"/>
      <c r="M98" s="17" t="n"/>
      <c r="N98" s="17" t="n"/>
      <c r="O98" s="17" t="n"/>
    </row>
    <row r="99">
      <c r="A99" s="23" t="n"/>
      <c r="B99" s="17" t="n"/>
      <c r="C99" s="17" t="n"/>
      <c r="D99" s="17" t="n"/>
      <c r="E99" s="17" t="n"/>
      <c r="F99" s="17" t="n"/>
      <c r="G99" s="24">
        <f>IF(F99="","",IFERROR(INDEX(Plan!$C:$C,MATCH(F99,Plan!$A:$A,0)),"unknown ID"))</f>
        <v/>
      </c>
      <c r="H99" s="24">
        <f>IF(F99="","",IFERROR(INDEX(Plan!$D:$D,MATCH(F99,Plan!$A:$A,0)),""))</f>
        <v/>
      </c>
      <c r="I99" s="17" t="n"/>
      <c r="J99" s="17" t="n"/>
      <c r="K99" s="17" t="n"/>
      <c r="L99" s="17" t="n"/>
      <c r="M99" s="17" t="n"/>
      <c r="N99" s="17" t="n"/>
      <c r="O99" s="17" t="n"/>
    </row>
    <row r="100">
      <c r="A100" s="23" t="n"/>
      <c r="B100" s="17" t="n"/>
      <c r="C100" s="17" t="n"/>
      <c r="D100" s="17" t="n"/>
      <c r="E100" s="17" t="n"/>
      <c r="F100" s="17" t="n"/>
      <c r="G100" s="24">
        <f>IF(F100="","",IFERROR(INDEX(Plan!$C:$C,MATCH(F100,Plan!$A:$A,0)),"unknown ID"))</f>
        <v/>
      </c>
      <c r="H100" s="24">
        <f>IF(F100="","",IFERROR(INDEX(Plan!$D:$D,MATCH(F100,Plan!$A:$A,0)),""))</f>
        <v/>
      </c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23" t="n"/>
      <c r="B101" s="17" t="n"/>
      <c r="C101" s="17" t="n"/>
      <c r="D101" s="17" t="n"/>
      <c r="E101" s="17" t="n"/>
      <c r="F101" s="17" t="n"/>
      <c r="G101" s="24">
        <f>IF(F101="","",IFERROR(INDEX(Plan!$C:$C,MATCH(F101,Plan!$A:$A,0)),"unknown ID"))</f>
        <v/>
      </c>
      <c r="H101" s="24">
        <f>IF(F101="","",IFERROR(INDEX(Plan!$D:$D,MATCH(F101,Plan!$A:$A,0)),""))</f>
        <v/>
      </c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23" t="n"/>
      <c r="B102" s="17" t="n"/>
      <c r="C102" s="17" t="n"/>
      <c r="D102" s="17" t="n"/>
      <c r="E102" s="17" t="n"/>
      <c r="F102" s="17" t="n"/>
      <c r="G102" s="24">
        <f>IF(F102="","",IFERROR(INDEX(Plan!$C:$C,MATCH(F102,Plan!$A:$A,0)),"unknown ID"))</f>
        <v/>
      </c>
      <c r="H102" s="24">
        <f>IF(F102="","",IFERROR(INDEX(Plan!$D:$D,MATCH(F102,Plan!$A:$A,0)),""))</f>
        <v/>
      </c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23" t="n"/>
      <c r="B103" s="17" t="n"/>
      <c r="C103" s="17" t="n"/>
      <c r="D103" s="17" t="n"/>
      <c r="E103" s="17" t="n"/>
      <c r="F103" s="17" t="n"/>
      <c r="G103" s="24">
        <f>IF(F103="","",IFERROR(INDEX(Plan!$C:$C,MATCH(F103,Plan!$A:$A,0)),"unknown ID"))</f>
        <v/>
      </c>
      <c r="H103" s="24">
        <f>IF(F103="","",IFERROR(INDEX(Plan!$D:$D,MATCH(F103,Plan!$A:$A,0)),""))</f>
        <v/>
      </c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23" t="n"/>
      <c r="B104" s="17" t="n"/>
      <c r="C104" s="17" t="n"/>
      <c r="D104" s="17" t="n"/>
      <c r="E104" s="17" t="n"/>
      <c r="F104" s="17" t="n"/>
      <c r="G104" s="24">
        <f>IF(F104="","",IFERROR(INDEX(Plan!$C:$C,MATCH(F104,Plan!$A:$A,0)),"unknown ID"))</f>
        <v/>
      </c>
      <c r="H104" s="24">
        <f>IF(F104="","",IFERROR(INDEX(Plan!$D:$D,MATCH(F104,Plan!$A:$A,0)),""))</f>
        <v/>
      </c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23" t="n"/>
      <c r="B105" s="17" t="n"/>
      <c r="C105" s="17" t="n"/>
      <c r="D105" s="17" t="n"/>
      <c r="E105" s="17" t="n"/>
      <c r="F105" s="17" t="n"/>
      <c r="G105" s="24">
        <f>IF(F105="","",IFERROR(INDEX(Plan!$C:$C,MATCH(F105,Plan!$A:$A,0)),"unknown ID"))</f>
        <v/>
      </c>
      <c r="H105" s="24">
        <f>IF(F105="","",IFERROR(INDEX(Plan!$D:$D,MATCH(F105,Plan!$A:$A,0)),""))</f>
        <v/>
      </c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23" t="n"/>
      <c r="B106" s="17" t="n"/>
      <c r="C106" s="17" t="n"/>
      <c r="D106" s="17" t="n"/>
      <c r="E106" s="17" t="n"/>
      <c r="F106" s="17" t="n"/>
      <c r="G106" s="24">
        <f>IF(F106="","",IFERROR(INDEX(Plan!$C:$C,MATCH(F106,Plan!$A:$A,0)),"unknown ID"))</f>
        <v/>
      </c>
      <c r="H106" s="24">
        <f>IF(F106="","",IFERROR(INDEX(Plan!$D:$D,MATCH(F106,Plan!$A:$A,0)),""))</f>
        <v/>
      </c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23" t="n"/>
      <c r="B107" s="17" t="n"/>
      <c r="C107" s="17" t="n"/>
      <c r="D107" s="17" t="n"/>
      <c r="E107" s="17" t="n"/>
      <c r="F107" s="17" t="n"/>
      <c r="G107" s="24">
        <f>IF(F107="","",IFERROR(INDEX(Plan!$C:$C,MATCH(F107,Plan!$A:$A,0)),"unknown ID"))</f>
        <v/>
      </c>
      <c r="H107" s="24">
        <f>IF(F107="","",IFERROR(INDEX(Plan!$D:$D,MATCH(F107,Plan!$A:$A,0)),""))</f>
        <v/>
      </c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23" t="n"/>
      <c r="B108" s="17" t="n"/>
      <c r="C108" s="17" t="n"/>
      <c r="D108" s="17" t="n"/>
      <c r="E108" s="17" t="n"/>
      <c r="F108" s="17" t="n"/>
      <c r="G108" s="24">
        <f>IF(F108="","",IFERROR(INDEX(Plan!$C:$C,MATCH(F108,Plan!$A:$A,0)),"unknown ID"))</f>
        <v/>
      </c>
      <c r="H108" s="24">
        <f>IF(F108="","",IFERROR(INDEX(Plan!$D:$D,MATCH(F108,Plan!$A:$A,0)),""))</f>
        <v/>
      </c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23" t="n"/>
      <c r="B109" s="17" t="n"/>
      <c r="C109" s="17" t="n"/>
      <c r="D109" s="17" t="n"/>
      <c r="E109" s="17" t="n"/>
      <c r="F109" s="17" t="n"/>
      <c r="G109" s="24">
        <f>IF(F109="","",IFERROR(INDEX(Plan!$C:$C,MATCH(F109,Plan!$A:$A,0)),"unknown ID"))</f>
        <v/>
      </c>
      <c r="H109" s="24">
        <f>IF(F109="","",IFERROR(INDEX(Plan!$D:$D,MATCH(F109,Plan!$A:$A,0)),""))</f>
        <v/>
      </c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23" t="n"/>
      <c r="B110" s="17" t="n"/>
      <c r="C110" s="17" t="n"/>
      <c r="D110" s="17" t="n"/>
      <c r="E110" s="17" t="n"/>
      <c r="F110" s="17" t="n"/>
      <c r="G110" s="24">
        <f>IF(F110="","",IFERROR(INDEX(Plan!$C:$C,MATCH(F110,Plan!$A:$A,0)),"unknown ID"))</f>
        <v/>
      </c>
      <c r="H110" s="24">
        <f>IF(F110="","",IFERROR(INDEX(Plan!$D:$D,MATCH(F110,Plan!$A:$A,0)),""))</f>
        <v/>
      </c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23" t="n"/>
      <c r="B111" s="17" t="n"/>
      <c r="C111" s="17" t="n"/>
      <c r="D111" s="17" t="n"/>
      <c r="E111" s="17" t="n"/>
      <c r="F111" s="17" t="n"/>
      <c r="G111" s="24">
        <f>IF(F111="","",IFERROR(INDEX(Plan!$C:$C,MATCH(F111,Plan!$A:$A,0)),"unknown ID"))</f>
        <v/>
      </c>
      <c r="H111" s="24">
        <f>IF(F111="","",IFERROR(INDEX(Plan!$D:$D,MATCH(F111,Plan!$A:$A,0)),""))</f>
        <v/>
      </c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23" t="n"/>
      <c r="B112" s="17" t="n"/>
      <c r="C112" s="17" t="n"/>
      <c r="D112" s="17" t="n"/>
      <c r="E112" s="17" t="n"/>
      <c r="F112" s="17" t="n"/>
      <c r="G112" s="24">
        <f>IF(F112="","",IFERROR(INDEX(Plan!$C:$C,MATCH(F112,Plan!$A:$A,0)),"unknown ID"))</f>
        <v/>
      </c>
      <c r="H112" s="24">
        <f>IF(F112="","",IFERROR(INDEX(Plan!$D:$D,MATCH(F112,Plan!$A:$A,0)),""))</f>
        <v/>
      </c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23" t="n"/>
      <c r="B113" s="17" t="n"/>
      <c r="C113" s="17" t="n"/>
      <c r="D113" s="17" t="n"/>
      <c r="E113" s="17" t="n"/>
      <c r="F113" s="17" t="n"/>
      <c r="G113" s="24">
        <f>IF(F113="","",IFERROR(INDEX(Plan!$C:$C,MATCH(F113,Plan!$A:$A,0)),"unknown ID"))</f>
        <v/>
      </c>
      <c r="H113" s="24">
        <f>IF(F113="","",IFERROR(INDEX(Plan!$D:$D,MATCH(F113,Plan!$A:$A,0)),""))</f>
        <v/>
      </c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23" t="n"/>
      <c r="B114" s="17" t="n"/>
      <c r="C114" s="17" t="n"/>
      <c r="D114" s="17" t="n"/>
      <c r="E114" s="17" t="n"/>
      <c r="F114" s="17" t="n"/>
      <c r="G114" s="24">
        <f>IF(F114="","",IFERROR(INDEX(Plan!$C:$C,MATCH(F114,Plan!$A:$A,0)),"unknown ID"))</f>
        <v/>
      </c>
      <c r="H114" s="24">
        <f>IF(F114="","",IFERROR(INDEX(Plan!$D:$D,MATCH(F114,Plan!$A:$A,0)),""))</f>
        <v/>
      </c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23" t="n"/>
      <c r="B115" s="17" t="n"/>
      <c r="C115" s="17" t="n"/>
      <c r="D115" s="17" t="n"/>
      <c r="E115" s="17" t="n"/>
      <c r="F115" s="17" t="n"/>
      <c r="G115" s="24">
        <f>IF(F115="","",IFERROR(INDEX(Plan!$C:$C,MATCH(F115,Plan!$A:$A,0)),"unknown ID"))</f>
        <v/>
      </c>
      <c r="H115" s="24">
        <f>IF(F115="","",IFERROR(INDEX(Plan!$D:$D,MATCH(F115,Plan!$A:$A,0)),""))</f>
        <v/>
      </c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23" t="n"/>
      <c r="B116" s="17" t="n"/>
      <c r="C116" s="17" t="n"/>
      <c r="D116" s="17" t="n"/>
      <c r="E116" s="17" t="n"/>
      <c r="F116" s="17" t="n"/>
      <c r="G116" s="24">
        <f>IF(F116="","",IFERROR(INDEX(Plan!$C:$C,MATCH(F116,Plan!$A:$A,0)),"unknown ID"))</f>
        <v/>
      </c>
      <c r="H116" s="24">
        <f>IF(F116="","",IFERROR(INDEX(Plan!$D:$D,MATCH(F116,Plan!$A:$A,0)),""))</f>
        <v/>
      </c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23" t="n"/>
      <c r="B117" s="17" t="n"/>
      <c r="C117" s="17" t="n"/>
      <c r="D117" s="17" t="n"/>
      <c r="E117" s="17" t="n"/>
      <c r="F117" s="17" t="n"/>
      <c r="G117" s="24">
        <f>IF(F117="","",IFERROR(INDEX(Plan!$C:$C,MATCH(F117,Plan!$A:$A,0)),"unknown ID"))</f>
        <v/>
      </c>
      <c r="H117" s="24">
        <f>IF(F117="","",IFERROR(INDEX(Plan!$D:$D,MATCH(F117,Plan!$A:$A,0)),""))</f>
        <v/>
      </c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23" t="n"/>
      <c r="B118" s="17" t="n"/>
      <c r="C118" s="17" t="n"/>
      <c r="D118" s="17" t="n"/>
      <c r="E118" s="17" t="n"/>
      <c r="F118" s="17" t="n"/>
      <c r="G118" s="24">
        <f>IF(F118="","",IFERROR(INDEX(Plan!$C:$C,MATCH(F118,Plan!$A:$A,0)),"unknown ID"))</f>
        <v/>
      </c>
      <c r="H118" s="24">
        <f>IF(F118="","",IFERROR(INDEX(Plan!$D:$D,MATCH(F118,Plan!$A:$A,0)),""))</f>
        <v/>
      </c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23" t="n"/>
      <c r="B119" s="17" t="n"/>
      <c r="C119" s="17" t="n"/>
      <c r="D119" s="17" t="n"/>
      <c r="E119" s="17" t="n"/>
      <c r="F119" s="17" t="n"/>
      <c r="G119" s="24">
        <f>IF(F119="","",IFERROR(INDEX(Plan!$C:$C,MATCH(F119,Plan!$A:$A,0)),"unknown ID"))</f>
        <v/>
      </c>
      <c r="H119" s="24">
        <f>IF(F119="","",IFERROR(INDEX(Plan!$D:$D,MATCH(F119,Plan!$A:$A,0)),""))</f>
        <v/>
      </c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23" t="n"/>
      <c r="B120" s="17" t="n"/>
      <c r="C120" s="17" t="n"/>
      <c r="D120" s="17" t="n"/>
      <c r="E120" s="17" t="n"/>
      <c r="F120" s="17" t="n"/>
      <c r="G120" s="24">
        <f>IF(F120="","",IFERROR(INDEX(Plan!$C:$C,MATCH(F120,Plan!$A:$A,0)),"unknown ID"))</f>
        <v/>
      </c>
      <c r="H120" s="24">
        <f>IF(F120="","",IFERROR(INDEX(Plan!$D:$D,MATCH(F120,Plan!$A:$A,0)),""))</f>
        <v/>
      </c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23" t="n"/>
      <c r="B121" s="17" t="n"/>
      <c r="C121" s="17" t="n"/>
      <c r="D121" s="17" t="n"/>
      <c r="E121" s="17" t="n"/>
      <c r="F121" s="17" t="n"/>
      <c r="G121" s="24">
        <f>IF(F121="","",IFERROR(INDEX(Plan!$C:$C,MATCH(F121,Plan!$A:$A,0)),"unknown ID"))</f>
        <v/>
      </c>
      <c r="H121" s="24">
        <f>IF(F121="","",IFERROR(INDEX(Plan!$D:$D,MATCH(F121,Plan!$A:$A,0)),""))</f>
        <v/>
      </c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23" t="n"/>
      <c r="B122" s="17" t="n"/>
      <c r="C122" s="17" t="n"/>
      <c r="D122" s="17" t="n"/>
      <c r="E122" s="17" t="n"/>
      <c r="F122" s="17" t="n"/>
      <c r="G122" s="24">
        <f>IF(F122="","",IFERROR(INDEX(Plan!$C:$C,MATCH(F122,Plan!$A:$A,0)),"unknown ID"))</f>
        <v/>
      </c>
      <c r="H122" s="24">
        <f>IF(F122="","",IFERROR(INDEX(Plan!$D:$D,MATCH(F122,Plan!$A:$A,0)),""))</f>
        <v/>
      </c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23" t="n"/>
      <c r="B123" s="17" t="n"/>
      <c r="C123" s="17" t="n"/>
      <c r="D123" s="17" t="n"/>
      <c r="E123" s="17" t="n"/>
      <c r="F123" s="17" t="n"/>
      <c r="G123" s="24">
        <f>IF(F123="","",IFERROR(INDEX(Plan!$C:$C,MATCH(F123,Plan!$A:$A,0)),"unknown ID"))</f>
        <v/>
      </c>
      <c r="H123" s="24">
        <f>IF(F123="","",IFERROR(INDEX(Plan!$D:$D,MATCH(F123,Plan!$A:$A,0)),""))</f>
        <v/>
      </c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23" t="n"/>
      <c r="B124" s="17" t="n"/>
      <c r="C124" s="17" t="n"/>
      <c r="D124" s="17" t="n"/>
      <c r="E124" s="17" t="n"/>
      <c r="F124" s="17" t="n"/>
      <c r="G124" s="24">
        <f>IF(F124="","",IFERROR(INDEX(Plan!$C:$C,MATCH(F124,Plan!$A:$A,0)),"unknown ID"))</f>
        <v/>
      </c>
      <c r="H124" s="24">
        <f>IF(F124="","",IFERROR(INDEX(Plan!$D:$D,MATCH(F124,Plan!$A:$A,0)),""))</f>
        <v/>
      </c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23" t="n"/>
      <c r="B125" s="17" t="n"/>
      <c r="C125" s="17" t="n"/>
      <c r="D125" s="17" t="n"/>
      <c r="E125" s="17" t="n"/>
      <c r="F125" s="17" t="n"/>
      <c r="G125" s="24">
        <f>IF(F125="","",IFERROR(INDEX(Plan!$C:$C,MATCH(F125,Plan!$A:$A,0)),"unknown ID"))</f>
        <v/>
      </c>
      <c r="H125" s="24">
        <f>IF(F125="","",IFERROR(INDEX(Plan!$D:$D,MATCH(F125,Plan!$A:$A,0)),""))</f>
        <v/>
      </c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23" t="n"/>
      <c r="B126" s="17" t="n"/>
      <c r="C126" s="17" t="n"/>
      <c r="D126" s="17" t="n"/>
      <c r="E126" s="17" t="n"/>
      <c r="F126" s="17" t="n"/>
      <c r="G126" s="24">
        <f>IF(F126="","",IFERROR(INDEX(Plan!$C:$C,MATCH(F126,Plan!$A:$A,0)),"unknown ID"))</f>
        <v/>
      </c>
      <c r="H126" s="24">
        <f>IF(F126="","",IFERROR(INDEX(Plan!$D:$D,MATCH(F126,Plan!$A:$A,0)),""))</f>
        <v/>
      </c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23" t="n"/>
      <c r="B127" s="17" t="n"/>
      <c r="C127" s="17" t="n"/>
      <c r="D127" s="17" t="n"/>
      <c r="E127" s="17" t="n"/>
      <c r="F127" s="17" t="n"/>
      <c r="G127" s="24">
        <f>IF(F127="","",IFERROR(INDEX(Plan!$C:$C,MATCH(F127,Plan!$A:$A,0)),"unknown ID"))</f>
        <v/>
      </c>
      <c r="H127" s="24">
        <f>IF(F127="","",IFERROR(INDEX(Plan!$D:$D,MATCH(F127,Plan!$A:$A,0)),""))</f>
        <v/>
      </c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23" t="n"/>
      <c r="B128" s="17" t="n"/>
      <c r="C128" s="17" t="n"/>
      <c r="D128" s="17" t="n"/>
      <c r="E128" s="17" t="n"/>
      <c r="F128" s="17" t="n"/>
      <c r="G128" s="24">
        <f>IF(F128="","",IFERROR(INDEX(Plan!$C:$C,MATCH(F128,Plan!$A:$A,0)),"unknown ID"))</f>
        <v/>
      </c>
      <c r="H128" s="24">
        <f>IF(F128="","",IFERROR(INDEX(Plan!$D:$D,MATCH(F128,Plan!$A:$A,0)),""))</f>
        <v/>
      </c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23" t="n"/>
      <c r="B129" s="17" t="n"/>
      <c r="C129" s="17" t="n"/>
      <c r="D129" s="17" t="n"/>
      <c r="E129" s="17" t="n"/>
      <c r="F129" s="17" t="n"/>
      <c r="G129" s="24">
        <f>IF(F129="","",IFERROR(INDEX(Plan!$C:$C,MATCH(F129,Plan!$A:$A,0)),"unknown ID"))</f>
        <v/>
      </c>
      <c r="H129" s="24">
        <f>IF(F129="","",IFERROR(INDEX(Plan!$D:$D,MATCH(F129,Plan!$A:$A,0)),""))</f>
        <v/>
      </c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23" t="n"/>
      <c r="B130" s="17" t="n"/>
      <c r="C130" s="17" t="n"/>
      <c r="D130" s="17" t="n"/>
      <c r="E130" s="17" t="n"/>
      <c r="F130" s="17" t="n"/>
      <c r="G130" s="24">
        <f>IF(F130="","",IFERROR(INDEX(Plan!$C:$C,MATCH(F130,Plan!$A:$A,0)),"unknown ID"))</f>
        <v/>
      </c>
      <c r="H130" s="24">
        <f>IF(F130="","",IFERROR(INDEX(Plan!$D:$D,MATCH(F130,Plan!$A:$A,0)),""))</f>
        <v/>
      </c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23" t="n"/>
      <c r="B131" s="17" t="n"/>
      <c r="C131" s="17" t="n"/>
      <c r="D131" s="17" t="n"/>
      <c r="E131" s="17" t="n"/>
      <c r="F131" s="17" t="n"/>
      <c r="G131" s="24">
        <f>IF(F131="","",IFERROR(INDEX(Plan!$C:$C,MATCH(F131,Plan!$A:$A,0)),"unknown ID"))</f>
        <v/>
      </c>
      <c r="H131" s="24">
        <f>IF(F131="","",IFERROR(INDEX(Plan!$D:$D,MATCH(F131,Plan!$A:$A,0)),""))</f>
        <v/>
      </c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23" t="n"/>
      <c r="B132" s="17" t="n"/>
      <c r="C132" s="17" t="n"/>
      <c r="D132" s="17" t="n"/>
      <c r="E132" s="17" t="n"/>
      <c r="F132" s="17" t="n"/>
      <c r="G132" s="24">
        <f>IF(F132="","",IFERROR(INDEX(Plan!$C:$C,MATCH(F132,Plan!$A:$A,0)),"unknown ID"))</f>
        <v/>
      </c>
      <c r="H132" s="24">
        <f>IF(F132="","",IFERROR(INDEX(Plan!$D:$D,MATCH(F132,Plan!$A:$A,0)),""))</f>
        <v/>
      </c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23" t="n"/>
      <c r="B133" s="17" t="n"/>
      <c r="C133" s="17" t="n"/>
      <c r="D133" s="17" t="n"/>
      <c r="E133" s="17" t="n"/>
      <c r="F133" s="17" t="n"/>
      <c r="G133" s="24">
        <f>IF(F133="","",IFERROR(INDEX(Plan!$C:$C,MATCH(F133,Plan!$A:$A,0)),"unknown ID"))</f>
        <v/>
      </c>
      <c r="H133" s="24">
        <f>IF(F133="","",IFERROR(INDEX(Plan!$D:$D,MATCH(F133,Plan!$A:$A,0)),""))</f>
        <v/>
      </c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23" t="n"/>
      <c r="B134" s="17" t="n"/>
      <c r="C134" s="17" t="n"/>
      <c r="D134" s="17" t="n"/>
      <c r="E134" s="17" t="n"/>
      <c r="F134" s="17" t="n"/>
      <c r="G134" s="24">
        <f>IF(F134="","",IFERROR(INDEX(Plan!$C:$C,MATCH(F134,Plan!$A:$A,0)),"unknown ID"))</f>
        <v/>
      </c>
      <c r="H134" s="24">
        <f>IF(F134="","",IFERROR(INDEX(Plan!$D:$D,MATCH(F134,Plan!$A:$A,0)),""))</f>
        <v/>
      </c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23" t="n"/>
      <c r="B135" s="17" t="n"/>
      <c r="C135" s="17" t="n"/>
      <c r="D135" s="17" t="n"/>
      <c r="E135" s="17" t="n"/>
      <c r="F135" s="17" t="n"/>
      <c r="G135" s="24">
        <f>IF(F135="","",IFERROR(INDEX(Plan!$C:$C,MATCH(F135,Plan!$A:$A,0)),"unknown ID"))</f>
        <v/>
      </c>
      <c r="H135" s="24">
        <f>IF(F135="","",IFERROR(INDEX(Plan!$D:$D,MATCH(F135,Plan!$A:$A,0)),""))</f>
        <v/>
      </c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23" t="n"/>
      <c r="B136" s="17" t="n"/>
      <c r="C136" s="17" t="n"/>
      <c r="D136" s="17" t="n"/>
      <c r="E136" s="17" t="n"/>
      <c r="F136" s="17" t="n"/>
      <c r="G136" s="24">
        <f>IF(F136="","",IFERROR(INDEX(Plan!$C:$C,MATCH(F136,Plan!$A:$A,0)),"unknown ID"))</f>
        <v/>
      </c>
      <c r="H136" s="24">
        <f>IF(F136="","",IFERROR(INDEX(Plan!$D:$D,MATCH(F136,Plan!$A:$A,0)),""))</f>
        <v/>
      </c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23" t="n"/>
      <c r="B137" s="17" t="n"/>
      <c r="C137" s="17" t="n"/>
      <c r="D137" s="17" t="n"/>
      <c r="E137" s="17" t="n"/>
      <c r="F137" s="17" t="n"/>
      <c r="G137" s="24">
        <f>IF(F137="","",IFERROR(INDEX(Plan!$C:$C,MATCH(F137,Plan!$A:$A,0)),"unknown ID"))</f>
        <v/>
      </c>
      <c r="H137" s="24">
        <f>IF(F137="","",IFERROR(INDEX(Plan!$D:$D,MATCH(F137,Plan!$A:$A,0)),""))</f>
        <v/>
      </c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23" t="n"/>
      <c r="B138" s="17" t="n"/>
      <c r="C138" s="17" t="n"/>
      <c r="D138" s="17" t="n"/>
      <c r="E138" s="17" t="n"/>
      <c r="F138" s="17" t="n"/>
      <c r="G138" s="24">
        <f>IF(F138="","",IFERROR(INDEX(Plan!$C:$C,MATCH(F138,Plan!$A:$A,0)),"unknown ID"))</f>
        <v/>
      </c>
      <c r="H138" s="24">
        <f>IF(F138="","",IFERROR(INDEX(Plan!$D:$D,MATCH(F138,Plan!$A:$A,0)),""))</f>
        <v/>
      </c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23" t="n"/>
      <c r="B139" s="17" t="n"/>
      <c r="C139" s="17" t="n"/>
      <c r="D139" s="17" t="n"/>
      <c r="E139" s="17" t="n"/>
      <c r="F139" s="17" t="n"/>
      <c r="G139" s="24">
        <f>IF(F139="","",IFERROR(INDEX(Plan!$C:$C,MATCH(F139,Plan!$A:$A,0)),"unknown ID"))</f>
        <v/>
      </c>
      <c r="H139" s="24">
        <f>IF(F139="","",IFERROR(INDEX(Plan!$D:$D,MATCH(F139,Plan!$A:$A,0)),""))</f>
        <v/>
      </c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23" t="n"/>
      <c r="B140" s="17" t="n"/>
      <c r="C140" s="17" t="n"/>
      <c r="D140" s="17" t="n"/>
      <c r="E140" s="17" t="n"/>
      <c r="F140" s="17" t="n"/>
      <c r="G140" s="24">
        <f>IF(F140="","",IFERROR(INDEX(Plan!$C:$C,MATCH(F140,Plan!$A:$A,0)),"unknown ID"))</f>
        <v/>
      </c>
      <c r="H140" s="24">
        <f>IF(F140="","",IFERROR(INDEX(Plan!$D:$D,MATCH(F140,Plan!$A:$A,0)),""))</f>
        <v/>
      </c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23" t="n"/>
      <c r="B141" s="17" t="n"/>
      <c r="C141" s="17" t="n"/>
      <c r="D141" s="17" t="n"/>
      <c r="E141" s="17" t="n"/>
      <c r="F141" s="17" t="n"/>
      <c r="G141" s="24">
        <f>IF(F141="","",IFERROR(INDEX(Plan!$C:$C,MATCH(F141,Plan!$A:$A,0)),"unknown ID"))</f>
        <v/>
      </c>
      <c r="H141" s="24">
        <f>IF(F141="","",IFERROR(INDEX(Plan!$D:$D,MATCH(F141,Plan!$A:$A,0)),""))</f>
        <v/>
      </c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23" t="n"/>
      <c r="B142" s="17" t="n"/>
      <c r="C142" s="17" t="n"/>
      <c r="D142" s="17" t="n"/>
      <c r="E142" s="17" t="n"/>
      <c r="F142" s="17" t="n"/>
      <c r="G142" s="24">
        <f>IF(F142="","",IFERROR(INDEX(Plan!$C:$C,MATCH(F142,Plan!$A:$A,0)),"unknown ID"))</f>
        <v/>
      </c>
      <c r="H142" s="24">
        <f>IF(F142="","",IFERROR(INDEX(Plan!$D:$D,MATCH(F142,Plan!$A:$A,0)),""))</f>
        <v/>
      </c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23" t="n"/>
      <c r="B143" s="17" t="n"/>
      <c r="C143" s="17" t="n"/>
      <c r="D143" s="17" t="n"/>
      <c r="E143" s="17" t="n"/>
      <c r="F143" s="17" t="n"/>
      <c r="G143" s="24">
        <f>IF(F143="","",IFERROR(INDEX(Plan!$C:$C,MATCH(F143,Plan!$A:$A,0)),"unknown ID"))</f>
        <v/>
      </c>
      <c r="H143" s="24">
        <f>IF(F143="","",IFERROR(INDEX(Plan!$D:$D,MATCH(F143,Plan!$A:$A,0)),""))</f>
        <v/>
      </c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23" t="n"/>
      <c r="B144" s="17" t="n"/>
      <c r="C144" s="17" t="n"/>
      <c r="D144" s="17" t="n"/>
      <c r="E144" s="17" t="n"/>
      <c r="F144" s="17" t="n"/>
      <c r="G144" s="24">
        <f>IF(F144="","",IFERROR(INDEX(Plan!$C:$C,MATCH(F144,Plan!$A:$A,0)),"unknown ID"))</f>
        <v/>
      </c>
      <c r="H144" s="24">
        <f>IF(F144="","",IFERROR(INDEX(Plan!$D:$D,MATCH(F144,Plan!$A:$A,0)),""))</f>
        <v/>
      </c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23" t="n"/>
      <c r="B145" s="17" t="n"/>
      <c r="C145" s="17" t="n"/>
      <c r="D145" s="17" t="n"/>
      <c r="E145" s="17" t="n"/>
      <c r="F145" s="17" t="n"/>
      <c r="G145" s="24">
        <f>IF(F145="","",IFERROR(INDEX(Plan!$C:$C,MATCH(F145,Plan!$A:$A,0)),"unknown ID"))</f>
        <v/>
      </c>
      <c r="H145" s="24">
        <f>IF(F145="","",IFERROR(INDEX(Plan!$D:$D,MATCH(F145,Plan!$A:$A,0)),""))</f>
        <v/>
      </c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23" t="n"/>
      <c r="B146" s="17" t="n"/>
      <c r="C146" s="17" t="n"/>
      <c r="D146" s="17" t="n"/>
      <c r="E146" s="17" t="n"/>
      <c r="F146" s="17" t="n"/>
      <c r="G146" s="24">
        <f>IF(F146="","",IFERROR(INDEX(Plan!$C:$C,MATCH(F146,Plan!$A:$A,0)),"unknown ID"))</f>
        <v/>
      </c>
      <c r="H146" s="24">
        <f>IF(F146="","",IFERROR(INDEX(Plan!$D:$D,MATCH(F146,Plan!$A:$A,0)),""))</f>
        <v/>
      </c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23" t="n"/>
      <c r="B147" s="17" t="n"/>
      <c r="C147" s="17" t="n"/>
      <c r="D147" s="17" t="n"/>
      <c r="E147" s="17" t="n"/>
      <c r="F147" s="17" t="n"/>
      <c r="G147" s="24">
        <f>IF(F147="","",IFERROR(INDEX(Plan!$C:$C,MATCH(F147,Plan!$A:$A,0)),"unknown ID"))</f>
        <v/>
      </c>
      <c r="H147" s="24">
        <f>IF(F147="","",IFERROR(INDEX(Plan!$D:$D,MATCH(F147,Plan!$A:$A,0)),""))</f>
        <v/>
      </c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23" t="n"/>
      <c r="B148" s="17" t="n"/>
      <c r="C148" s="17" t="n"/>
      <c r="D148" s="17" t="n"/>
      <c r="E148" s="17" t="n"/>
      <c r="F148" s="17" t="n"/>
      <c r="G148" s="24">
        <f>IF(F148="","",IFERROR(INDEX(Plan!$C:$C,MATCH(F148,Plan!$A:$A,0)),"unknown ID"))</f>
        <v/>
      </c>
      <c r="H148" s="24">
        <f>IF(F148="","",IFERROR(INDEX(Plan!$D:$D,MATCH(F148,Plan!$A:$A,0)),""))</f>
        <v/>
      </c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23" t="n"/>
      <c r="B149" s="17" t="n"/>
      <c r="C149" s="17" t="n"/>
      <c r="D149" s="17" t="n"/>
      <c r="E149" s="17" t="n"/>
      <c r="F149" s="17" t="n"/>
      <c r="G149" s="24">
        <f>IF(F149="","",IFERROR(INDEX(Plan!$C:$C,MATCH(F149,Plan!$A:$A,0)),"unknown ID"))</f>
        <v/>
      </c>
      <c r="H149" s="24">
        <f>IF(F149="","",IFERROR(INDEX(Plan!$D:$D,MATCH(F149,Plan!$A:$A,0)),""))</f>
        <v/>
      </c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23" t="n"/>
      <c r="B150" s="17" t="n"/>
      <c r="C150" s="17" t="n"/>
      <c r="D150" s="17" t="n"/>
      <c r="E150" s="17" t="n"/>
      <c r="F150" s="17" t="n"/>
      <c r="G150" s="24">
        <f>IF(F150="","",IFERROR(INDEX(Plan!$C:$C,MATCH(F150,Plan!$A:$A,0)),"unknown ID"))</f>
        <v/>
      </c>
      <c r="H150" s="24">
        <f>IF(F150="","",IFERROR(INDEX(Plan!$D:$D,MATCH(F150,Plan!$A:$A,0)),""))</f>
        <v/>
      </c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23" t="n"/>
      <c r="B151" s="17" t="n"/>
      <c r="C151" s="17" t="n"/>
      <c r="D151" s="17" t="n"/>
      <c r="E151" s="17" t="n"/>
      <c r="F151" s="17" t="n"/>
      <c r="G151" s="24">
        <f>IF(F151="","",IFERROR(INDEX(Plan!$C:$C,MATCH(F151,Plan!$A:$A,0)),"unknown ID"))</f>
        <v/>
      </c>
      <c r="H151" s="24">
        <f>IF(F151="","",IFERROR(INDEX(Plan!$D:$D,MATCH(F151,Plan!$A:$A,0)),""))</f>
        <v/>
      </c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23" t="n"/>
      <c r="B152" s="17" t="n"/>
      <c r="C152" s="17" t="n"/>
      <c r="D152" s="17" t="n"/>
      <c r="E152" s="17" t="n"/>
      <c r="F152" s="17" t="n"/>
      <c r="G152" s="24">
        <f>IF(F152="","",IFERROR(INDEX(Plan!$C:$C,MATCH(F152,Plan!$A:$A,0)),"unknown ID"))</f>
        <v/>
      </c>
      <c r="H152" s="24">
        <f>IF(F152="","",IFERROR(INDEX(Plan!$D:$D,MATCH(F152,Plan!$A:$A,0)),""))</f>
        <v/>
      </c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23" t="n"/>
      <c r="B153" s="17" t="n"/>
      <c r="C153" s="17" t="n"/>
      <c r="D153" s="17" t="n"/>
      <c r="E153" s="17" t="n"/>
      <c r="F153" s="17" t="n"/>
      <c r="G153" s="24">
        <f>IF(F153="","",IFERROR(INDEX(Plan!$C:$C,MATCH(F153,Plan!$A:$A,0)),"unknown ID"))</f>
        <v/>
      </c>
      <c r="H153" s="24">
        <f>IF(F153="","",IFERROR(INDEX(Plan!$D:$D,MATCH(F153,Plan!$A:$A,0)),""))</f>
        <v/>
      </c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23" t="n"/>
      <c r="B154" s="17" t="n"/>
      <c r="C154" s="17" t="n"/>
      <c r="D154" s="17" t="n"/>
      <c r="E154" s="17" t="n"/>
      <c r="F154" s="17" t="n"/>
      <c r="G154" s="24">
        <f>IF(F154="","",IFERROR(INDEX(Plan!$C:$C,MATCH(F154,Plan!$A:$A,0)),"unknown ID"))</f>
        <v/>
      </c>
      <c r="H154" s="24">
        <f>IF(F154="","",IFERROR(INDEX(Plan!$D:$D,MATCH(F154,Plan!$A:$A,0)),""))</f>
        <v/>
      </c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23" t="n"/>
      <c r="B155" s="17" t="n"/>
      <c r="C155" s="17" t="n"/>
      <c r="D155" s="17" t="n"/>
      <c r="E155" s="17" t="n"/>
      <c r="F155" s="17" t="n"/>
      <c r="G155" s="24">
        <f>IF(F155="","",IFERROR(INDEX(Plan!$C:$C,MATCH(F155,Plan!$A:$A,0)),"unknown ID"))</f>
        <v/>
      </c>
      <c r="H155" s="24">
        <f>IF(F155="","",IFERROR(INDEX(Plan!$D:$D,MATCH(F155,Plan!$A:$A,0)),""))</f>
        <v/>
      </c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23" t="n"/>
      <c r="B156" s="17" t="n"/>
      <c r="C156" s="17" t="n"/>
      <c r="D156" s="17" t="n"/>
      <c r="E156" s="17" t="n"/>
      <c r="F156" s="17" t="n"/>
      <c r="G156" s="24">
        <f>IF(F156="","",IFERROR(INDEX(Plan!$C:$C,MATCH(F156,Plan!$A:$A,0)),"unknown ID"))</f>
        <v/>
      </c>
      <c r="H156" s="24">
        <f>IF(F156="","",IFERROR(INDEX(Plan!$D:$D,MATCH(F156,Plan!$A:$A,0)),""))</f>
        <v/>
      </c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23" t="n"/>
      <c r="B157" s="17" t="n"/>
      <c r="C157" s="17" t="n"/>
      <c r="D157" s="17" t="n"/>
      <c r="E157" s="17" t="n"/>
      <c r="F157" s="17" t="n"/>
      <c r="G157" s="24">
        <f>IF(F157="","",IFERROR(INDEX(Plan!$C:$C,MATCH(F157,Plan!$A:$A,0)),"unknown ID"))</f>
        <v/>
      </c>
      <c r="H157" s="24">
        <f>IF(F157="","",IFERROR(INDEX(Plan!$D:$D,MATCH(F157,Plan!$A:$A,0)),""))</f>
        <v/>
      </c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23" t="n"/>
      <c r="B158" s="17" t="n"/>
      <c r="C158" s="17" t="n"/>
      <c r="D158" s="17" t="n"/>
      <c r="E158" s="17" t="n"/>
      <c r="F158" s="17" t="n"/>
      <c r="G158" s="24">
        <f>IF(F158="","",IFERROR(INDEX(Plan!$C:$C,MATCH(F158,Plan!$A:$A,0)),"unknown ID"))</f>
        <v/>
      </c>
      <c r="H158" s="24">
        <f>IF(F158="","",IFERROR(INDEX(Plan!$D:$D,MATCH(F158,Plan!$A:$A,0)),""))</f>
        <v/>
      </c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23" t="n"/>
      <c r="B159" s="17" t="n"/>
      <c r="C159" s="17" t="n"/>
      <c r="D159" s="17" t="n"/>
      <c r="E159" s="17" t="n"/>
      <c r="F159" s="17" t="n"/>
      <c r="G159" s="24">
        <f>IF(F159="","",IFERROR(INDEX(Plan!$C:$C,MATCH(F159,Plan!$A:$A,0)),"unknown ID"))</f>
        <v/>
      </c>
      <c r="H159" s="24">
        <f>IF(F159="","",IFERROR(INDEX(Plan!$D:$D,MATCH(F159,Plan!$A:$A,0)),""))</f>
        <v/>
      </c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23" t="n"/>
      <c r="B160" s="17" t="n"/>
      <c r="C160" s="17" t="n"/>
      <c r="D160" s="17" t="n"/>
      <c r="E160" s="17" t="n"/>
      <c r="F160" s="17" t="n"/>
      <c r="G160" s="24">
        <f>IF(F160="","",IFERROR(INDEX(Plan!$C:$C,MATCH(F160,Plan!$A:$A,0)),"unknown ID"))</f>
        <v/>
      </c>
      <c r="H160" s="24">
        <f>IF(F160="","",IFERROR(INDEX(Plan!$D:$D,MATCH(F160,Plan!$A:$A,0)),""))</f>
        <v/>
      </c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23" t="n"/>
      <c r="B161" s="17" t="n"/>
      <c r="C161" s="17" t="n"/>
      <c r="D161" s="17" t="n"/>
      <c r="E161" s="17" t="n"/>
      <c r="F161" s="17" t="n"/>
      <c r="G161" s="24">
        <f>IF(F161="","",IFERROR(INDEX(Plan!$C:$C,MATCH(F161,Plan!$A:$A,0)),"unknown ID"))</f>
        <v/>
      </c>
      <c r="H161" s="24">
        <f>IF(F161="","",IFERROR(INDEX(Plan!$D:$D,MATCH(F161,Plan!$A:$A,0)),""))</f>
        <v/>
      </c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23" t="n"/>
      <c r="B162" s="17" t="n"/>
      <c r="C162" s="17" t="n"/>
      <c r="D162" s="17" t="n"/>
      <c r="E162" s="17" t="n"/>
      <c r="F162" s="17" t="n"/>
      <c r="G162" s="24">
        <f>IF(F162="","",IFERROR(INDEX(Plan!$C:$C,MATCH(F162,Plan!$A:$A,0)),"unknown ID"))</f>
        <v/>
      </c>
      <c r="H162" s="24">
        <f>IF(F162="","",IFERROR(INDEX(Plan!$D:$D,MATCH(F162,Plan!$A:$A,0)),""))</f>
        <v/>
      </c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23" t="n"/>
      <c r="B163" s="17" t="n"/>
      <c r="C163" s="17" t="n"/>
      <c r="D163" s="17" t="n"/>
      <c r="E163" s="17" t="n"/>
      <c r="F163" s="17" t="n"/>
      <c r="G163" s="24">
        <f>IF(F163="","",IFERROR(INDEX(Plan!$C:$C,MATCH(F163,Plan!$A:$A,0)),"unknown ID"))</f>
        <v/>
      </c>
      <c r="H163" s="24">
        <f>IF(F163="","",IFERROR(INDEX(Plan!$D:$D,MATCH(F163,Plan!$A:$A,0)),""))</f>
        <v/>
      </c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23" t="n"/>
      <c r="B164" s="17" t="n"/>
      <c r="C164" s="17" t="n"/>
      <c r="D164" s="17" t="n"/>
      <c r="E164" s="17" t="n"/>
      <c r="F164" s="17" t="n"/>
      <c r="G164" s="24">
        <f>IF(F164="","",IFERROR(INDEX(Plan!$C:$C,MATCH(F164,Plan!$A:$A,0)),"unknown ID"))</f>
        <v/>
      </c>
      <c r="H164" s="24">
        <f>IF(F164="","",IFERROR(INDEX(Plan!$D:$D,MATCH(F164,Plan!$A:$A,0)),""))</f>
        <v/>
      </c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23" t="n"/>
      <c r="B165" s="17" t="n"/>
      <c r="C165" s="17" t="n"/>
      <c r="D165" s="17" t="n"/>
      <c r="E165" s="17" t="n"/>
      <c r="F165" s="17" t="n"/>
      <c r="G165" s="24">
        <f>IF(F165="","",IFERROR(INDEX(Plan!$C:$C,MATCH(F165,Plan!$A:$A,0)),"unknown ID"))</f>
        <v/>
      </c>
      <c r="H165" s="24">
        <f>IF(F165="","",IFERROR(INDEX(Plan!$D:$D,MATCH(F165,Plan!$A:$A,0)),""))</f>
        <v/>
      </c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23" t="n"/>
      <c r="B166" s="17" t="n"/>
      <c r="C166" s="17" t="n"/>
      <c r="D166" s="17" t="n"/>
      <c r="E166" s="17" t="n"/>
      <c r="F166" s="17" t="n"/>
      <c r="G166" s="24">
        <f>IF(F166="","",IFERROR(INDEX(Plan!$C:$C,MATCH(F166,Plan!$A:$A,0)),"unknown ID"))</f>
        <v/>
      </c>
      <c r="H166" s="24">
        <f>IF(F166="","",IFERROR(INDEX(Plan!$D:$D,MATCH(F166,Plan!$A:$A,0)),""))</f>
        <v/>
      </c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23" t="n"/>
      <c r="B167" s="17" t="n"/>
      <c r="C167" s="17" t="n"/>
      <c r="D167" s="17" t="n"/>
      <c r="E167" s="17" t="n"/>
      <c r="F167" s="17" t="n"/>
      <c r="G167" s="24">
        <f>IF(F167="","",IFERROR(INDEX(Plan!$C:$C,MATCH(F167,Plan!$A:$A,0)),"unknown ID"))</f>
        <v/>
      </c>
      <c r="H167" s="24">
        <f>IF(F167="","",IFERROR(INDEX(Plan!$D:$D,MATCH(F167,Plan!$A:$A,0)),""))</f>
        <v/>
      </c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23" t="n"/>
      <c r="B168" s="17" t="n"/>
      <c r="C168" s="17" t="n"/>
      <c r="D168" s="17" t="n"/>
      <c r="E168" s="17" t="n"/>
      <c r="F168" s="17" t="n"/>
      <c r="G168" s="24">
        <f>IF(F168="","",IFERROR(INDEX(Plan!$C:$C,MATCH(F168,Plan!$A:$A,0)),"unknown ID"))</f>
        <v/>
      </c>
      <c r="H168" s="24">
        <f>IF(F168="","",IFERROR(INDEX(Plan!$D:$D,MATCH(F168,Plan!$A:$A,0)),""))</f>
        <v/>
      </c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23" t="n"/>
      <c r="B169" s="17" t="n"/>
      <c r="C169" s="17" t="n"/>
      <c r="D169" s="17" t="n"/>
      <c r="E169" s="17" t="n"/>
      <c r="F169" s="17" t="n"/>
      <c r="G169" s="24">
        <f>IF(F169="","",IFERROR(INDEX(Plan!$C:$C,MATCH(F169,Plan!$A:$A,0)),"unknown ID"))</f>
        <v/>
      </c>
      <c r="H169" s="24">
        <f>IF(F169="","",IFERROR(INDEX(Plan!$D:$D,MATCH(F169,Plan!$A:$A,0)),""))</f>
        <v/>
      </c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23" t="n"/>
      <c r="B170" s="17" t="n"/>
      <c r="C170" s="17" t="n"/>
      <c r="D170" s="17" t="n"/>
      <c r="E170" s="17" t="n"/>
      <c r="F170" s="17" t="n"/>
      <c r="G170" s="24">
        <f>IF(F170="","",IFERROR(INDEX(Plan!$C:$C,MATCH(F170,Plan!$A:$A,0)),"unknown ID"))</f>
        <v/>
      </c>
      <c r="H170" s="24">
        <f>IF(F170="","",IFERROR(INDEX(Plan!$D:$D,MATCH(F170,Plan!$A:$A,0)),""))</f>
        <v/>
      </c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23" t="n"/>
      <c r="B171" s="17" t="n"/>
      <c r="C171" s="17" t="n"/>
      <c r="D171" s="17" t="n"/>
      <c r="E171" s="17" t="n"/>
      <c r="F171" s="17" t="n"/>
      <c r="G171" s="24">
        <f>IF(F171="","",IFERROR(INDEX(Plan!$C:$C,MATCH(F171,Plan!$A:$A,0)),"unknown ID"))</f>
        <v/>
      </c>
      <c r="H171" s="24">
        <f>IF(F171="","",IFERROR(INDEX(Plan!$D:$D,MATCH(F171,Plan!$A:$A,0)),""))</f>
        <v/>
      </c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23" t="n"/>
      <c r="B172" s="17" t="n"/>
      <c r="C172" s="17" t="n"/>
      <c r="D172" s="17" t="n"/>
      <c r="E172" s="17" t="n"/>
      <c r="F172" s="17" t="n"/>
      <c r="G172" s="24">
        <f>IF(F172="","",IFERROR(INDEX(Plan!$C:$C,MATCH(F172,Plan!$A:$A,0)),"unknown ID"))</f>
        <v/>
      </c>
      <c r="H172" s="24">
        <f>IF(F172="","",IFERROR(INDEX(Plan!$D:$D,MATCH(F172,Plan!$A:$A,0)),""))</f>
        <v/>
      </c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23" t="n"/>
      <c r="B173" s="17" t="n"/>
      <c r="C173" s="17" t="n"/>
      <c r="D173" s="17" t="n"/>
      <c r="E173" s="17" t="n"/>
      <c r="F173" s="17" t="n"/>
      <c r="G173" s="24">
        <f>IF(F173="","",IFERROR(INDEX(Plan!$C:$C,MATCH(F173,Plan!$A:$A,0)),"unknown ID"))</f>
        <v/>
      </c>
      <c r="H173" s="24">
        <f>IF(F173="","",IFERROR(INDEX(Plan!$D:$D,MATCH(F173,Plan!$A:$A,0)),""))</f>
        <v/>
      </c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23" t="n"/>
      <c r="B174" s="17" t="n"/>
      <c r="C174" s="17" t="n"/>
      <c r="D174" s="17" t="n"/>
      <c r="E174" s="17" t="n"/>
      <c r="F174" s="17" t="n"/>
      <c r="G174" s="24">
        <f>IF(F174="","",IFERROR(INDEX(Plan!$C:$C,MATCH(F174,Plan!$A:$A,0)),"unknown ID"))</f>
        <v/>
      </c>
      <c r="H174" s="24">
        <f>IF(F174="","",IFERROR(INDEX(Plan!$D:$D,MATCH(F174,Plan!$A:$A,0)),""))</f>
        <v/>
      </c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23" t="n"/>
      <c r="B175" s="17" t="n"/>
      <c r="C175" s="17" t="n"/>
      <c r="D175" s="17" t="n"/>
      <c r="E175" s="17" t="n"/>
      <c r="F175" s="17" t="n"/>
      <c r="G175" s="24">
        <f>IF(F175="","",IFERROR(INDEX(Plan!$C:$C,MATCH(F175,Plan!$A:$A,0)),"unknown ID"))</f>
        <v/>
      </c>
      <c r="H175" s="24">
        <f>IF(F175="","",IFERROR(INDEX(Plan!$D:$D,MATCH(F175,Plan!$A:$A,0)),""))</f>
        <v/>
      </c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23" t="n"/>
      <c r="B176" s="17" t="n"/>
      <c r="C176" s="17" t="n"/>
      <c r="D176" s="17" t="n"/>
      <c r="E176" s="17" t="n"/>
      <c r="F176" s="17" t="n"/>
      <c r="G176" s="24">
        <f>IF(F176="","",IFERROR(INDEX(Plan!$C:$C,MATCH(F176,Plan!$A:$A,0)),"unknown ID"))</f>
        <v/>
      </c>
      <c r="H176" s="24">
        <f>IF(F176="","",IFERROR(INDEX(Plan!$D:$D,MATCH(F176,Plan!$A:$A,0)),""))</f>
        <v/>
      </c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23" t="n"/>
      <c r="B177" s="17" t="n"/>
      <c r="C177" s="17" t="n"/>
      <c r="D177" s="17" t="n"/>
      <c r="E177" s="17" t="n"/>
      <c r="F177" s="17" t="n"/>
      <c r="G177" s="24">
        <f>IF(F177="","",IFERROR(INDEX(Plan!$C:$C,MATCH(F177,Plan!$A:$A,0)),"unknown ID"))</f>
        <v/>
      </c>
      <c r="H177" s="24">
        <f>IF(F177="","",IFERROR(INDEX(Plan!$D:$D,MATCH(F177,Plan!$A:$A,0)),""))</f>
        <v/>
      </c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23" t="n"/>
      <c r="B178" s="17" t="n"/>
      <c r="C178" s="17" t="n"/>
      <c r="D178" s="17" t="n"/>
      <c r="E178" s="17" t="n"/>
      <c r="F178" s="17" t="n"/>
      <c r="G178" s="24">
        <f>IF(F178="","",IFERROR(INDEX(Plan!$C:$C,MATCH(F178,Plan!$A:$A,0)),"unknown ID"))</f>
        <v/>
      </c>
      <c r="H178" s="24">
        <f>IF(F178="","",IFERROR(INDEX(Plan!$D:$D,MATCH(F178,Plan!$A:$A,0)),""))</f>
        <v/>
      </c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23" t="n"/>
      <c r="B179" s="17" t="n"/>
      <c r="C179" s="17" t="n"/>
      <c r="D179" s="17" t="n"/>
      <c r="E179" s="17" t="n"/>
      <c r="F179" s="17" t="n"/>
      <c r="G179" s="24">
        <f>IF(F179="","",IFERROR(INDEX(Plan!$C:$C,MATCH(F179,Plan!$A:$A,0)),"unknown ID"))</f>
        <v/>
      </c>
      <c r="H179" s="24">
        <f>IF(F179="","",IFERROR(INDEX(Plan!$D:$D,MATCH(F179,Plan!$A:$A,0)),""))</f>
        <v/>
      </c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23" t="n"/>
      <c r="B180" s="17" t="n"/>
      <c r="C180" s="17" t="n"/>
      <c r="D180" s="17" t="n"/>
      <c r="E180" s="17" t="n"/>
      <c r="F180" s="17" t="n"/>
      <c r="G180" s="24">
        <f>IF(F180="","",IFERROR(INDEX(Plan!$C:$C,MATCH(F180,Plan!$A:$A,0)),"unknown ID"))</f>
        <v/>
      </c>
      <c r="H180" s="24">
        <f>IF(F180="","",IFERROR(INDEX(Plan!$D:$D,MATCH(F180,Plan!$A:$A,0)),""))</f>
        <v/>
      </c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23" t="n"/>
      <c r="B181" s="17" t="n"/>
      <c r="C181" s="17" t="n"/>
      <c r="D181" s="17" t="n"/>
      <c r="E181" s="17" t="n"/>
      <c r="F181" s="17" t="n"/>
      <c r="G181" s="24">
        <f>IF(F181="","",IFERROR(INDEX(Plan!$C:$C,MATCH(F181,Plan!$A:$A,0)),"unknown ID"))</f>
        <v/>
      </c>
      <c r="H181" s="24">
        <f>IF(F181="","",IFERROR(INDEX(Plan!$D:$D,MATCH(F181,Plan!$A:$A,0)),""))</f>
        <v/>
      </c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23" t="n"/>
      <c r="B182" s="17" t="n"/>
      <c r="C182" s="17" t="n"/>
      <c r="D182" s="17" t="n"/>
      <c r="E182" s="17" t="n"/>
      <c r="F182" s="17" t="n"/>
      <c r="G182" s="24">
        <f>IF(F182="","",IFERROR(INDEX(Plan!$C:$C,MATCH(F182,Plan!$A:$A,0)),"unknown ID"))</f>
        <v/>
      </c>
      <c r="H182" s="24">
        <f>IF(F182="","",IFERROR(INDEX(Plan!$D:$D,MATCH(F182,Plan!$A:$A,0)),""))</f>
        <v/>
      </c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23" t="n"/>
      <c r="B183" s="17" t="n"/>
      <c r="C183" s="17" t="n"/>
      <c r="D183" s="17" t="n"/>
      <c r="E183" s="17" t="n"/>
      <c r="F183" s="17" t="n"/>
      <c r="G183" s="24">
        <f>IF(F183="","",IFERROR(INDEX(Plan!$C:$C,MATCH(F183,Plan!$A:$A,0)),"unknown ID"))</f>
        <v/>
      </c>
      <c r="H183" s="24">
        <f>IF(F183="","",IFERROR(INDEX(Plan!$D:$D,MATCH(F183,Plan!$A:$A,0)),""))</f>
        <v/>
      </c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23" t="n"/>
      <c r="B184" s="17" t="n"/>
      <c r="C184" s="17" t="n"/>
      <c r="D184" s="17" t="n"/>
      <c r="E184" s="17" t="n"/>
      <c r="F184" s="17" t="n"/>
      <c r="G184" s="24">
        <f>IF(F184="","",IFERROR(INDEX(Plan!$C:$C,MATCH(F184,Plan!$A:$A,0)),"unknown ID"))</f>
        <v/>
      </c>
      <c r="H184" s="24">
        <f>IF(F184="","",IFERROR(INDEX(Plan!$D:$D,MATCH(F184,Plan!$A:$A,0)),""))</f>
        <v/>
      </c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23" t="n"/>
      <c r="B185" s="17" t="n"/>
      <c r="C185" s="17" t="n"/>
      <c r="D185" s="17" t="n"/>
      <c r="E185" s="17" t="n"/>
      <c r="F185" s="17" t="n"/>
      <c r="G185" s="24">
        <f>IF(F185="","",IFERROR(INDEX(Plan!$C:$C,MATCH(F185,Plan!$A:$A,0)),"unknown ID"))</f>
        <v/>
      </c>
      <c r="H185" s="24">
        <f>IF(F185="","",IFERROR(INDEX(Plan!$D:$D,MATCH(F185,Plan!$A:$A,0)),""))</f>
        <v/>
      </c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23" t="n"/>
      <c r="B186" s="17" t="n"/>
      <c r="C186" s="17" t="n"/>
      <c r="D186" s="17" t="n"/>
      <c r="E186" s="17" t="n"/>
      <c r="F186" s="17" t="n"/>
      <c r="G186" s="24">
        <f>IF(F186="","",IFERROR(INDEX(Plan!$C:$C,MATCH(F186,Plan!$A:$A,0)),"unknown ID"))</f>
        <v/>
      </c>
      <c r="H186" s="24">
        <f>IF(F186="","",IFERROR(INDEX(Plan!$D:$D,MATCH(F186,Plan!$A:$A,0)),""))</f>
        <v/>
      </c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23" t="n"/>
      <c r="B187" s="17" t="n"/>
      <c r="C187" s="17" t="n"/>
      <c r="D187" s="17" t="n"/>
      <c r="E187" s="17" t="n"/>
      <c r="F187" s="17" t="n"/>
      <c r="G187" s="24">
        <f>IF(F187="","",IFERROR(INDEX(Plan!$C:$C,MATCH(F187,Plan!$A:$A,0)),"unknown ID"))</f>
        <v/>
      </c>
      <c r="H187" s="24">
        <f>IF(F187="","",IFERROR(INDEX(Plan!$D:$D,MATCH(F187,Plan!$A:$A,0)),""))</f>
        <v/>
      </c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23" t="n"/>
      <c r="B188" s="17" t="n"/>
      <c r="C188" s="17" t="n"/>
      <c r="D188" s="17" t="n"/>
      <c r="E188" s="17" t="n"/>
      <c r="F188" s="17" t="n"/>
      <c r="G188" s="24">
        <f>IF(F188="","",IFERROR(INDEX(Plan!$C:$C,MATCH(F188,Plan!$A:$A,0)),"unknown ID"))</f>
        <v/>
      </c>
      <c r="H188" s="24">
        <f>IF(F188="","",IFERROR(INDEX(Plan!$D:$D,MATCH(F188,Plan!$A:$A,0)),""))</f>
        <v/>
      </c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23" t="n"/>
      <c r="B189" s="17" t="n"/>
      <c r="C189" s="17" t="n"/>
      <c r="D189" s="17" t="n"/>
      <c r="E189" s="17" t="n"/>
      <c r="F189" s="17" t="n"/>
      <c r="G189" s="24">
        <f>IF(F189="","",IFERROR(INDEX(Plan!$C:$C,MATCH(F189,Plan!$A:$A,0)),"unknown ID"))</f>
        <v/>
      </c>
      <c r="H189" s="24">
        <f>IF(F189="","",IFERROR(INDEX(Plan!$D:$D,MATCH(F189,Plan!$A:$A,0)),""))</f>
        <v/>
      </c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23" t="n"/>
      <c r="B190" s="17" t="n"/>
      <c r="C190" s="17" t="n"/>
      <c r="D190" s="17" t="n"/>
      <c r="E190" s="17" t="n"/>
      <c r="F190" s="17" t="n"/>
      <c r="G190" s="24">
        <f>IF(F190="","",IFERROR(INDEX(Plan!$C:$C,MATCH(F190,Plan!$A:$A,0)),"unknown ID"))</f>
        <v/>
      </c>
      <c r="H190" s="24">
        <f>IF(F190="","",IFERROR(INDEX(Plan!$D:$D,MATCH(F190,Plan!$A:$A,0)),""))</f>
        <v/>
      </c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23" t="n"/>
      <c r="B191" s="17" t="n"/>
      <c r="C191" s="17" t="n"/>
      <c r="D191" s="17" t="n"/>
      <c r="E191" s="17" t="n"/>
      <c r="F191" s="17" t="n"/>
      <c r="G191" s="24">
        <f>IF(F191="","",IFERROR(INDEX(Plan!$C:$C,MATCH(F191,Plan!$A:$A,0)),"unknown ID"))</f>
        <v/>
      </c>
      <c r="H191" s="24">
        <f>IF(F191="","",IFERROR(INDEX(Plan!$D:$D,MATCH(F191,Plan!$A:$A,0)),""))</f>
        <v/>
      </c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23" t="n"/>
      <c r="B192" s="17" t="n"/>
      <c r="C192" s="17" t="n"/>
      <c r="D192" s="17" t="n"/>
      <c r="E192" s="17" t="n"/>
      <c r="F192" s="17" t="n"/>
      <c r="G192" s="24">
        <f>IF(F192="","",IFERROR(INDEX(Plan!$C:$C,MATCH(F192,Plan!$A:$A,0)),"unknown ID"))</f>
        <v/>
      </c>
      <c r="H192" s="24">
        <f>IF(F192="","",IFERROR(INDEX(Plan!$D:$D,MATCH(F192,Plan!$A:$A,0)),""))</f>
        <v/>
      </c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23" t="n"/>
      <c r="B193" s="17" t="n"/>
      <c r="C193" s="17" t="n"/>
      <c r="D193" s="17" t="n"/>
      <c r="E193" s="17" t="n"/>
      <c r="F193" s="17" t="n"/>
      <c r="G193" s="24">
        <f>IF(F193="","",IFERROR(INDEX(Plan!$C:$C,MATCH(F193,Plan!$A:$A,0)),"unknown ID"))</f>
        <v/>
      </c>
      <c r="H193" s="24">
        <f>IF(F193="","",IFERROR(INDEX(Plan!$D:$D,MATCH(F193,Plan!$A:$A,0)),""))</f>
        <v/>
      </c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23" t="n"/>
      <c r="B194" s="17" t="n"/>
      <c r="C194" s="17" t="n"/>
      <c r="D194" s="17" t="n"/>
      <c r="E194" s="17" t="n"/>
      <c r="F194" s="17" t="n"/>
      <c r="G194" s="24">
        <f>IF(F194="","",IFERROR(INDEX(Plan!$C:$C,MATCH(F194,Plan!$A:$A,0)),"unknown ID"))</f>
        <v/>
      </c>
      <c r="H194" s="24">
        <f>IF(F194="","",IFERROR(INDEX(Plan!$D:$D,MATCH(F194,Plan!$A:$A,0)),""))</f>
        <v/>
      </c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23" t="n"/>
      <c r="B195" s="17" t="n"/>
      <c r="C195" s="17" t="n"/>
      <c r="D195" s="17" t="n"/>
      <c r="E195" s="17" t="n"/>
      <c r="F195" s="17" t="n"/>
      <c r="G195" s="24">
        <f>IF(F195="","",IFERROR(INDEX(Plan!$C:$C,MATCH(F195,Plan!$A:$A,0)),"unknown ID"))</f>
        <v/>
      </c>
      <c r="H195" s="24">
        <f>IF(F195="","",IFERROR(INDEX(Plan!$D:$D,MATCH(F195,Plan!$A:$A,0)),""))</f>
        <v/>
      </c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23" t="n"/>
      <c r="B196" s="17" t="n"/>
      <c r="C196" s="17" t="n"/>
      <c r="D196" s="17" t="n"/>
      <c r="E196" s="17" t="n"/>
      <c r="F196" s="17" t="n"/>
      <c r="G196" s="24">
        <f>IF(F196="","",IFERROR(INDEX(Plan!$C:$C,MATCH(F196,Plan!$A:$A,0)),"unknown ID"))</f>
        <v/>
      </c>
      <c r="H196" s="24">
        <f>IF(F196="","",IFERROR(INDEX(Plan!$D:$D,MATCH(F196,Plan!$A:$A,0)),""))</f>
        <v/>
      </c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23" t="n"/>
      <c r="B197" s="17" t="n"/>
      <c r="C197" s="17" t="n"/>
      <c r="D197" s="17" t="n"/>
      <c r="E197" s="17" t="n"/>
      <c r="F197" s="17" t="n"/>
      <c r="G197" s="24">
        <f>IF(F197="","",IFERROR(INDEX(Plan!$C:$C,MATCH(F197,Plan!$A:$A,0)),"unknown ID"))</f>
        <v/>
      </c>
      <c r="H197" s="24">
        <f>IF(F197="","",IFERROR(INDEX(Plan!$D:$D,MATCH(F197,Plan!$A:$A,0)),""))</f>
        <v/>
      </c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23" t="n"/>
      <c r="B198" s="17" t="n"/>
      <c r="C198" s="17" t="n"/>
      <c r="D198" s="17" t="n"/>
      <c r="E198" s="17" t="n"/>
      <c r="F198" s="17" t="n"/>
      <c r="G198" s="24">
        <f>IF(F198="","",IFERROR(INDEX(Plan!$C:$C,MATCH(F198,Plan!$A:$A,0)),"unknown ID"))</f>
        <v/>
      </c>
      <c r="H198" s="24">
        <f>IF(F198="","",IFERROR(INDEX(Plan!$D:$D,MATCH(F198,Plan!$A:$A,0)),""))</f>
        <v/>
      </c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23" t="n"/>
      <c r="B199" s="17" t="n"/>
      <c r="C199" s="17" t="n"/>
      <c r="D199" s="17" t="n"/>
      <c r="E199" s="17" t="n"/>
      <c r="F199" s="17" t="n"/>
      <c r="G199" s="24">
        <f>IF(F199="","",IFERROR(INDEX(Plan!$C:$C,MATCH(F199,Plan!$A:$A,0)),"unknown ID"))</f>
        <v/>
      </c>
      <c r="H199" s="24">
        <f>IF(F199="","",IFERROR(INDEX(Plan!$D:$D,MATCH(F199,Plan!$A:$A,0)),""))</f>
        <v/>
      </c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23" t="n"/>
      <c r="B200" s="17" t="n"/>
      <c r="C200" s="17" t="n"/>
      <c r="D200" s="17" t="n"/>
      <c r="E200" s="17" t="n"/>
      <c r="F200" s="17" t="n"/>
      <c r="G200" s="24">
        <f>IF(F200="","",IFERROR(INDEX(Plan!$C:$C,MATCH(F200,Plan!$A:$A,0)),"unknown ID"))</f>
        <v/>
      </c>
      <c r="H200" s="24">
        <f>IF(F200="","",IFERROR(INDEX(Plan!$D:$D,MATCH(F200,Plan!$A:$A,0)),""))</f>
        <v/>
      </c>
      <c r="I200" s="17" t="n"/>
      <c r="J200" s="17" t="n"/>
      <c r="K200" s="17" t="n"/>
      <c r="L200" s="17" t="n"/>
      <c r="M200" s="17" t="n"/>
      <c r="N200" s="17" t="n"/>
      <c r="O200" s="17" t="n"/>
    </row>
    <row r="201">
      <c r="A201" s="23" t="n"/>
      <c r="B201" s="17" t="n"/>
      <c r="C201" s="17" t="n"/>
      <c r="D201" s="17" t="n"/>
      <c r="E201" s="17" t="n"/>
      <c r="F201" s="17" t="n"/>
      <c r="G201" s="24">
        <f>IF(F201="","",IFERROR(INDEX(Plan!$C:$C,MATCH(F201,Plan!$A:$A,0)),"unknown ID"))</f>
        <v/>
      </c>
      <c r="H201" s="24">
        <f>IF(F201="","",IFERROR(INDEX(Plan!$D:$D,MATCH(F201,Plan!$A:$A,0)),""))</f>
        <v/>
      </c>
      <c r="I201" s="17" t="n"/>
      <c r="J201" s="17" t="n"/>
      <c r="K201" s="17" t="n"/>
      <c r="L201" s="17" t="n"/>
      <c r="M201" s="17" t="n"/>
      <c r="N201" s="17" t="n"/>
      <c r="O201" s="17" t="n"/>
    </row>
    <row r="202">
      <c r="A202" s="23" t="n"/>
      <c r="B202" s="17" t="n"/>
      <c r="C202" s="17" t="n"/>
      <c r="D202" s="17" t="n"/>
      <c r="E202" s="17" t="n"/>
      <c r="F202" s="17" t="n"/>
      <c r="G202" s="24">
        <f>IF(F202="","",IFERROR(INDEX(Plan!$C:$C,MATCH(F202,Plan!$A:$A,0)),"unknown ID"))</f>
        <v/>
      </c>
      <c r="H202" s="24">
        <f>IF(F202="","",IFERROR(INDEX(Plan!$D:$D,MATCH(F202,Plan!$A:$A,0)),""))</f>
        <v/>
      </c>
      <c r="I202" s="17" t="n"/>
      <c r="J202" s="17" t="n"/>
      <c r="K202" s="17" t="n"/>
      <c r="L202" s="17" t="n"/>
      <c r="M202" s="17" t="n"/>
      <c r="N202" s="17" t="n"/>
      <c r="O202" s="17" t="n"/>
    </row>
    <row r="203">
      <c r="A203" s="23" t="n"/>
      <c r="B203" s="17" t="n"/>
      <c r="C203" s="17" t="n"/>
      <c r="D203" s="17" t="n"/>
      <c r="E203" s="17" t="n"/>
      <c r="F203" s="17" t="n"/>
      <c r="G203" s="24">
        <f>IF(F203="","",IFERROR(INDEX(Plan!$C:$C,MATCH(F203,Plan!$A:$A,0)),"unknown ID"))</f>
        <v/>
      </c>
      <c r="H203" s="24">
        <f>IF(F203="","",IFERROR(INDEX(Plan!$D:$D,MATCH(F203,Plan!$A:$A,0)),""))</f>
        <v/>
      </c>
      <c r="I203" s="17" t="n"/>
      <c r="J203" s="17" t="n"/>
      <c r="K203" s="17" t="n"/>
      <c r="L203" s="17" t="n"/>
      <c r="M203" s="17" t="n"/>
      <c r="N203" s="17" t="n"/>
      <c r="O203" s="17" t="n"/>
    </row>
    <row r="204">
      <c r="A204" s="23" t="n"/>
      <c r="B204" s="17" t="n"/>
      <c r="C204" s="17" t="n"/>
      <c r="D204" s="17" t="n"/>
      <c r="E204" s="17" t="n"/>
      <c r="F204" s="17" t="n"/>
      <c r="G204" s="24">
        <f>IF(F204="","",IFERROR(INDEX(Plan!$C:$C,MATCH(F204,Plan!$A:$A,0)),"unknown ID"))</f>
        <v/>
      </c>
      <c r="H204" s="24">
        <f>IF(F204="","",IFERROR(INDEX(Plan!$D:$D,MATCH(F204,Plan!$A:$A,0)),""))</f>
        <v/>
      </c>
      <c r="I204" s="17" t="n"/>
      <c r="J204" s="17" t="n"/>
      <c r="K204" s="17" t="n"/>
      <c r="L204" s="17" t="n"/>
      <c r="M204" s="17" t="n"/>
      <c r="N204" s="17" t="n"/>
      <c r="O204" s="17" t="n"/>
    </row>
    <row r="205">
      <c r="A205" s="23" t="n"/>
      <c r="B205" s="17" t="n"/>
      <c r="C205" s="17" t="n"/>
      <c r="D205" s="17" t="n"/>
      <c r="E205" s="17" t="n"/>
      <c r="F205" s="17" t="n"/>
      <c r="G205" s="24">
        <f>IF(F205="","",IFERROR(INDEX(Plan!$C:$C,MATCH(F205,Plan!$A:$A,0)),"unknown ID"))</f>
        <v/>
      </c>
      <c r="H205" s="24">
        <f>IF(F205="","",IFERROR(INDEX(Plan!$D:$D,MATCH(F205,Plan!$A:$A,0)),""))</f>
        <v/>
      </c>
      <c r="I205" s="17" t="n"/>
      <c r="J205" s="17" t="n"/>
      <c r="K205" s="17" t="n"/>
      <c r="L205" s="17" t="n"/>
      <c r="M205" s="17" t="n"/>
      <c r="N205" s="17" t="n"/>
      <c r="O205" s="17" t="n"/>
    </row>
    <row r="206">
      <c r="A206" s="23" t="n"/>
      <c r="B206" s="17" t="n"/>
      <c r="C206" s="17" t="n"/>
      <c r="D206" s="17" t="n"/>
      <c r="E206" s="17" t="n"/>
      <c r="F206" s="17" t="n"/>
      <c r="G206" s="24">
        <f>IF(F206="","",IFERROR(INDEX(Plan!$C:$C,MATCH(F206,Plan!$A:$A,0)),"unknown ID"))</f>
        <v/>
      </c>
      <c r="H206" s="24">
        <f>IF(F206="","",IFERROR(INDEX(Plan!$D:$D,MATCH(F206,Plan!$A:$A,0)),""))</f>
        <v/>
      </c>
      <c r="I206" s="17" t="n"/>
      <c r="J206" s="17" t="n"/>
      <c r="K206" s="17" t="n"/>
      <c r="L206" s="17" t="n"/>
      <c r="M206" s="17" t="n"/>
      <c r="N206" s="17" t="n"/>
      <c r="O206" s="17" t="n"/>
    </row>
    <row r="207">
      <c r="A207" s="23" t="n"/>
      <c r="B207" s="17" t="n"/>
      <c r="C207" s="17" t="n"/>
      <c r="D207" s="17" t="n"/>
      <c r="E207" s="17" t="n"/>
      <c r="F207" s="17" t="n"/>
      <c r="G207" s="24">
        <f>IF(F207="","",IFERROR(INDEX(Plan!$C:$C,MATCH(F207,Plan!$A:$A,0)),"unknown ID"))</f>
        <v/>
      </c>
      <c r="H207" s="24">
        <f>IF(F207="","",IFERROR(INDEX(Plan!$D:$D,MATCH(F207,Plan!$A:$A,0)),""))</f>
        <v/>
      </c>
      <c r="I207" s="17" t="n"/>
      <c r="J207" s="17" t="n"/>
      <c r="K207" s="17" t="n"/>
      <c r="L207" s="17" t="n"/>
      <c r="M207" s="17" t="n"/>
      <c r="N207" s="17" t="n"/>
      <c r="O207" s="17" t="n"/>
    </row>
    <row r="208">
      <c r="A208" s="23" t="n"/>
      <c r="B208" s="17" t="n"/>
      <c r="C208" s="17" t="n"/>
      <c r="D208" s="17" t="n"/>
      <c r="E208" s="17" t="n"/>
      <c r="F208" s="17" t="n"/>
      <c r="G208" s="24">
        <f>IF(F208="","",IFERROR(INDEX(Plan!$C:$C,MATCH(F208,Plan!$A:$A,0)),"unknown ID"))</f>
        <v/>
      </c>
      <c r="H208" s="24">
        <f>IF(F208="","",IFERROR(INDEX(Plan!$D:$D,MATCH(F208,Plan!$A:$A,0)),""))</f>
        <v/>
      </c>
      <c r="I208" s="17" t="n"/>
      <c r="J208" s="17" t="n"/>
      <c r="K208" s="17" t="n"/>
      <c r="L208" s="17" t="n"/>
      <c r="M208" s="17" t="n"/>
      <c r="N208" s="17" t="n"/>
      <c r="O208" s="17" t="n"/>
    </row>
    <row r="209">
      <c r="A209" s="23" t="n"/>
      <c r="B209" s="17" t="n"/>
      <c r="C209" s="17" t="n"/>
      <c r="D209" s="17" t="n"/>
      <c r="E209" s="17" t="n"/>
      <c r="F209" s="17" t="n"/>
      <c r="G209" s="24">
        <f>IF(F209="","",IFERROR(INDEX(Plan!$C:$C,MATCH(F209,Plan!$A:$A,0)),"unknown ID"))</f>
        <v/>
      </c>
      <c r="H209" s="24">
        <f>IF(F209="","",IFERROR(INDEX(Plan!$D:$D,MATCH(F209,Plan!$A:$A,0)),""))</f>
        <v/>
      </c>
      <c r="I209" s="17" t="n"/>
      <c r="J209" s="17" t="n"/>
      <c r="K209" s="17" t="n"/>
      <c r="L209" s="17" t="n"/>
      <c r="M209" s="17" t="n"/>
      <c r="N209" s="17" t="n"/>
      <c r="O209" s="17" t="n"/>
    </row>
    <row r="210">
      <c r="A210" s="23" t="n"/>
      <c r="B210" s="17" t="n"/>
      <c r="C210" s="17" t="n"/>
      <c r="D210" s="17" t="n"/>
      <c r="E210" s="17" t="n"/>
      <c r="F210" s="17" t="n"/>
      <c r="G210" s="24">
        <f>IF(F210="","",IFERROR(INDEX(Plan!$C:$C,MATCH(F210,Plan!$A:$A,0)),"unknown ID"))</f>
        <v/>
      </c>
      <c r="H210" s="24">
        <f>IF(F210="","",IFERROR(INDEX(Plan!$D:$D,MATCH(F210,Plan!$A:$A,0)),""))</f>
        <v/>
      </c>
      <c r="I210" s="17" t="n"/>
      <c r="J210" s="17" t="n"/>
      <c r="K210" s="17" t="n"/>
      <c r="L210" s="17" t="n"/>
      <c r="M210" s="17" t="n"/>
      <c r="N210" s="17" t="n"/>
      <c r="O210" s="17" t="n"/>
    </row>
    <row r="211">
      <c r="A211" s="23" t="n"/>
      <c r="B211" s="17" t="n"/>
      <c r="C211" s="17" t="n"/>
      <c r="D211" s="17" t="n"/>
      <c r="E211" s="17" t="n"/>
      <c r="F211" s="17" t="n"/>
      <c r="G211" s="24">
        <f>IF(F211="","",IFERROR(INDEX(Plan!$C:$C,MATCH(F211,Plan!$A:$A,0)),"unknown ID"))</f>
        <v/>
      </c>
      <c r="H211" s="24">
        <f>IF(F211="","",IFERROR(INDEX(Plan!$D:$D,MATCH(F211,Plan!$A:$A,0)),""))</f>
        <v/>
      </c>
      <c r="I211" s="17" t="n"/>
      <c r="J211" s="17" t="n"/>
      <c r="K211" s="17" t="n"/>
      <c r="L211" s="17" t="n"/>
      <c r="M211" s="17" t="n"/>
      <c r="N211" s="17" t="n"/>
      <c r="O211" s="17" t="n"/>
    </row>
    <row r="212">
      <c r="A212" s="23" t="n"/>
      <c r="B212" s="17" t="n"/>
      <c r="C212" s="17" t="n"/>
      <c r="D212" s="17" t="n"/>
      <c r="E212" s="17" t="n"/>
      <c r="F212" s="17" t="n"/>
      <c r="G212" s="24">
        <f>IF(F212="","",IFERROR(INDEX(Plan!$C:$C,MATCH(F212,Plan!$A:$A,0)),"unknown ID"))</f>
        <v/>
      </c>
      <c r="H212" s="24">
        <f>IF(F212="","",IFERROR(INDEX(Plan!$D:$D,MATCH(F212,Plan!$A:$A,0)),""))</f>
        <v/>
      </c>
      <c r="I212" s="17" t="n"/>
      <c r="J212" s="17" t="n"/>
      <c r="K212" s="17" t="n"/>
      <c r="L212" s="17" t="n"/>
      <c r="M212" s="17" t="n"/>
      <c r="N212" s="17" t="n"/>
      <c r="O212" s="17" t="n"/>
    </row>
    <row r="213">
      <c r="A213" s="23" t="n"/>
      <c r="B213" s="17" t="n"/>
      <c r="C213" s="17" t="n"/>
      <c r="D213" s="17" t="n"/>
      <c r="E213" s="17" t="n"/>
      <c r="F213" s="17" t="n"/>
      <c r="G213" s="24">
        <f>IF(F213="","",IFERROR(INDEX(Plan!$C:$C,MATCH(F213,Plan!$A:$A,0)),"unknown ID"))</f>
        <v/>
      </c>
      <c r="H213" s="24">
        <f>IF(F213="","",IFERROR(INDEX(Plan!$D:$D,MATCH(F213,Plan!$A:$A,0)),""))</f>
        <v/>
      </c>
      <c r="I213" s="17" t="n"/>
      <c r="J213" s="17" t="n"/>
      <c r="K213" s="17" t="n"/>
      <c r="L213" s="17" t="n"/>
      <c r="M213" s="17" t="n"/>
      <c r="N213" s="17" t="n"/>
      <c r="O213" s="17" t="n"/>
    </row>
    <row r="214">
      <c r="A214" s="23" t="n"/>
      <c r="B214" s="17" t="n"/>
      <c r="C214" s="17" t="n"/>
      <c r="D214" s="17" t="n"/>
      <c r="E214" s="17" t="n"/>
      <c r="F214" s="17" t="n"/>
      <c r="G214" s="24">
        <f>IF(F214="","",IFERROR(INDEX(Plan!$C:$C,MATCH(F214,Plan!$A:$A,0)),"unknown ID"))</f>
        <v/>
      </c>
      <c r="H214" s="24">
        <f>IF(F214="","",IFERROR(INDEX(Plan!$D:$D,MATCH(F214,Plan!$A:$A,0)),""))</f>
        <v/>
      </c>
      <c r="I214" s="17" t="n"/>
      <c r="J214" s="17" t="n"/>
      <c r="K214" s="17" t="n"/>
      <c r="L214" s="17" t="n"/>
      <c r="M214" s="17" t="n"/>
      <c r="N214" s="17" t="n"/>
      <c r="O214" s="17" t="n"/>
    </row>
    <row r="215">
      <c r="A215" s="23" t="n"/>
      <c r="B215" s="17" t="n"/>
      <c r="C215" s="17" t="n"/>
      <c r="D215" s="17" t="n"/>
      <c r="E215" s="17" t="n"/>
      <c r="F215" s="17" t="n"/>
      <c r="G215" s="24">
        <f>IF(F215="","",IFERROR(INDEX(Plan!$C:$C,MATCH(F215,Plan!$A:$A,0)),"unknown ID"))</f>
        <v/>
      </c>
      <c r="H215" s="24">
        <f>IF(F215="","",IFERROR(INDEX(Plan!$D:$D,MATCH(F215,Plan!$A:$A,0)),""))</f>
        <v/>
      </c>
      <c r="I215" s="17" t="n"/>
      <c r="J215" s="17" t="n"/>
      <c r="K215" s="17" t="n"/>
      <c r="L215" s="17" t="n"/>
      <c r="M215" s="17" t="n"/>
      <c r="N215" s="17" t="n"/>
      <c r="O215" s="17" t="n"/>
    </row>
    <row r="216">
      <c r="A216" s="23" t="n"/>
      <c r="B216" s="17" t="n"/>
      <c r="C216" s="17" t="n"/>
      <c r="D216" s="17" t="n"/>
      <c r="E216" s="17" t="n"/>
      <c r="F216" s="17" t="n"/>
      <c r="G216" s="24">
        <f>IF(F216="","",IFERROR(INDEX(Plan!$C:$C,MATCH(F216,Plan!$A:$A,0)),"unknown ID"))</f>
        <v/>
      </c>
      <c r="H216" s="24">
        <f>IF(F216="","",IFERROR(INDEX(Plan!$D:$D,MATCH(F216,Plan!$A:$A,0)),""))</f>
        <v/>
      </c>
      <c r="I216" s="17" t="n"/>
      <c r="J216" s="17" t="n"/>
      <c r="K216" s="17" t="n"/>
      <c r="L216" s="17" t="n"/>
      <c r="M216" s="17" t="n"/>
      <c r="N216" s="17" t="n"/>
      <c r="O216" s="17" t="n"/>
    </row>
    <row r="217">
      <c r="A217" s="23" t="n"/>
      <c r="B217" s="17" t="n"/>
      <c r="C217" s="17" t="n"/>
      <c r="D217" s="17" t="n"/>
      <c r="E217" s="17" t="n"/>
      <c r="F217" s="17" t="n"/>
      <c r="G217" s="24">
        <f>IF(F217="","",IFERROR(INDEX(Plan!$C:$C,MATCH(F217,Plan!$A:$A,0)),"unknown ID"))</f>
        <v/>
      </c>
      <c r="H217" s="24">
        <f>IF(F217="","",IFERROR(INDEX(Plan!$D:$D,MATCH(F217,Plan!$A:$A,0)),""))</f>
        <v/>
      </c>
      <c r="I217" s="17" t="n"/>
      <c r="J217" s="17" t="n"/>
      <c r="K217" s="17" t="n"/>
      <c r="L217" s="17" t="n"/>
      <c r="M217" s="17" t="n"/>
      <c r="N217" s="17" t="n"/>
      <c r="O217" s="17" t="n"/>
    </row>
    <row r="218">
      <c r="A218" s="23" t="n"/>
      <c r="B218" s="17" t="n"/>
      <c r="C218" s="17" t="n"/>
      <c r="D218" s="17" t="n"/>
      <c r="E218" s="17" t="n"/>
      <c r="F218" s="17" t="n"/>
      <c r="G218" s="24">
        <f>IF(F218="","",IFERROR(INDEX(Plan!$C:$C,MATCH(F218,Plan!$A:$A,0)),"unknown ID"))</f>
        <v/>
      </c>
      <c r="H218" s="24">
        <f>IF(F218="","",IFERROR(INDEX(Plan!$D:$D,MATCH(F218,Plan!$A:$A,0)),""))</f>
        <v/>
      </c>
      <c r="I218" s="17" t="n"/>
      <c r="J218" s="17" t="n"/>
      <c r="K218" s="17" t="n"/>
      <c r="L218" s="17" t="n"/>
      <c r="M218" s="17" t="n"/>
      <c r="N218" s="17" t="n"/>
      <c r="O218" s="17" t="n"/>
    </row>
    <row r="219">
      <c r="A219" s="23" t="n"/>
      <c r="B219" s="17" t="n"/>
      <c r="C219" s="17" t="n"/>
      <c r="D219" s="17" t="n"/>
      <c r="E219" s="17" t="n"/>
      <c r="F219" s="17" t="n"/>
      <c r="G219" s="24">
        <f>IF(F219="","",IFERROR(INDEX(Plan!$C:$C,MATCH(F219,Plan!$A:$A,0)),"unknown ID"))</f>
        <v/>
      </c>
      <c r="H219" s="24">
        <f>IF(F219="","",IFERROR(INDEX(Plan!$D:$D,MATCH(F219,Plan!$A:$A,0)),""))</f>
        <v/>
      </c>
      <c r="I219" s="17" t="n"/>
      <c r="J219" s="17" t="n"/>
      <c r="K219" s="17" t="n"/>
      <c r="L219" s="17" t="n"/>
      <c r="M219" s="17" t="n"/>
      <c r="N219" s="17" t="n"/>
      <c r="O219" s="17" t="n"/>
    </row>
    <row r="220">
      <c r="A220" s="23" t="n"/>
      <c r="B220" s="17" t="n"/>
      <c r="C220" s="17" t="n"/>
      <c r="D220" s="17" t="n"/>
      <c r="E220" s="17" t="n"/>
      <c r="F220" s="17" t="n"/>
      <c r="G220" s="24">
        <f>IF(F220="","",IFERROR(INDEX(Plan!$C:$C,MATCH(F220,Plan!$A:$A,0)),"unknown ID"))</f>
        <v/>
      </c>
      <c r="H220" s="24">
        <f>IF(F220="","",IFERROR(INDEX(Plan!$D:$D,MATCH(F220,Plan!$A:$A,0)),""))</f>
        <v/>
      </c>
      <c r="I220" s="17" t="n"/>
      <c r="J220" s="17" t="n"/>
      <c r="K220" s="17" t="n"/>
      <c r="L220" s="17" t="n"/>
      <c r="M220" s="17" t="n"/>
      <c r="N220" s="17" t="n"/>
      <c r="O220" s="17" t="n"/>
    </row>
    <row r="221">
      <c r="A221" s="23" t="n"/>
      <c r="B221" s="17" t="n"/>
      <c r="C221" s="17" t="n"/>
      <c r="D221" s="17" t="n"/>
      <c r="E221" s="17" t="n"/>
      <c r="F221" s="17" t="n"/>
      <c r="G221" s="24">
        <f>IF(F221="","",IFERROR(INDEX(Plan!$C:$C,MATCH(F221,Plan!$A:$A,0)),"unknown ID"))</f>
        <v/>
      </c>
      <c r="H221" s="24">
        <f>IF(F221="","",IFERROR(INDEX(Plan!$D:$D,MATCH(F221,Plan!$A:$A,0)),""))</f>
        <v/>
      </c>
      <c r="I221" s="17" t="n"/>
      <c r="J221" s="17" t="n"/>
      <c r="K221" s="17" t="n"/>
      <c r="L221" s="17" t="n"/>
      <c r="M221" s="17" t="n"/>
      <c r="N221" s="17" t="n"/>
      <c r="O221" s="17" t="n"/>
    </row>
    <row r="222">
      <c r="A222" s="23" t="n"/>
      <c r="B222" s="17" t="n"/>
      <c r="C222" s="17" t="n"/>
      <c r="D222" s="17" t="n"/>
      <c r="E222" s="17" t="n"/>
      <c r="F222" s="17" t="n"/>
      <c r="G222" s="24">
        <f>IF(F222="","",IFERROR(INDEX(Plan!$C:$C,MATCH(F222,Plan!$A:$A,0)),"unknown ID"))</f>
        <v/>
      </c>
      <c r="H222" s="24">
        <f>IF(F222="","",IFERROR(INDEX(Plan!$D:$D,MATCH(F222,Plan!$A:$A,0)),""))</f>
        <v/>
      </c>
      <c r="I222" s="17" t="n"/>
      <c r="J222" s="17" t="n"/>
      <c r="K222" s="17" t="n"/>
      <c r="L222" s="17" t="n"/>
      <c r="M222" s="17" t="n"/>
      <c r="N222" s="17" t="n"/>
      <c r="O222" s="17" t="n"/>
    </row>
    <row r="223">
      <c r="A223" s="23" t="n"/>
      <c r="B223" s="17" t="n"/>
      <c r="C223" s="17" t="n"/>
      <c r="D223" s="17" t="n"/>
      <c r="E223" s="17" t="n"/>
      <c r="F223" s="17" t="n"/>
      <c r="G223" s="24">
        <f>IF(F223="","",IFERROR(INDEX(Plan!$C:$C,MATCH(F223,Plan!$A:$A,0)),"unknown ID"))</f>
        <v/>
      </c>
      <c r="H223" s="24">
        <f>IF(F223="","",IFERROR(INDEX(Plan!$D:$D,MATCH(F223,Plan!$A:$A,0)),""))</f>
        <v/>
      </c>
      <c r="I223" s="17" t="n"/>
      <c r="J223" s="17" t="n"/>
      <c r="K223" s="17" t="n"/>
      <c r="L223" s="17" t="n"/>
      <c r="M223" s="17" t="n"/>
      <c r="N223" s="17" t="n"/>
      <c r="O223" s="17" t="n"/>
    </row>
    <row r="224">
      <c r="A224" s="23" t="n"/>
      <c r="B224" s="17" t="n"/>
      <c r="C224" s="17" t="n"/>
      <c r="D224" s="17" t="n"/>
      <c r="E224" s="17" t="n"/>
      <c r="F224" s="17" t="n"/>
      <c r="G224" s="24">
        <f>IF(F224="","",IFERROR(INDEX(Plan!$C:$C,MATCH(F224,Plan!$A:$A,0)),"unknown ID"))</f>
        <v/>
      </c>
      <c r="H224" s="24">
        <f>IF(F224="","",IFERROR(INDEX(Plan!$D:$D,MATCH(F224,Plan!$A:$A,0)),""))</f>
        <v/>
      </c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23" t="n"/>
      <c r="B225" s="17" t="n"/>
      <c r="C225" s="17" t="n"/>
      <c r="D225" s="17" t="n"/>
      <c r="E225" s="17" t="n"/>
      <c r="F225" s="17" t="n"/>
      <c r="G225" s="24">
        <f>IF(F225="","",IFERROR(INDEX(Plan!$C:$C,MATCH(F225,Plan!$A:$A,0)),"unknown ID"))</f>
        <v/>
      </c>
      <c r="H225" s="24">
        <f>IF(F225="","",IFERROR(INDEX(Plan!$D:$D,MATCH(F225,Plan!$A:$A,0)),""))</f>
        <v/>
      </c>
      <c r="I225" s="17" t="n"/>
      <c r="J225" s="17" t="n"/>
      <c r="K225" s="17" t="n"/>
      <c r="L225" s="17" t="n"/>
      <c r="M225" s="17" t="n"/>
      <c r="N225" s="17" t="n"/>
      <c r="O225" s="17" t="n"/>
    </row>
    <row r="226">
      <c r="A226" s="23" t="n"/>
      <c r="B226" s="17" t="n"/>
      <c r="C226" s="17" t="n"/>
      <c r="D226" s="17" t="n"/>
      <c r="E226" s="17" t="n"/>
      <c r="F226" s="17" t="n"/>
      <c r="G226" s="24">
        <f>IF(F226="","",IFERROR(INDEX(Plan!$C:$C,MATCH(F226,Plan!$A:$A,0)),"unknown ID"))</f>
        <v/>
      </c>
      <c r="H226" s="24">
        <f>IF(F226="","",IFERROR(INDEX(Plan!$D:$D,MATCH(F226,Plan!$A:$A,0)),""))</f>
        <v/>
      </c>
      <c r="I226" s="17" t="n"/>
      <c r="J226" s="17" t="n"/>
      <c r="K226" s="17" t="n"/>
      <c r="L226" s="17" t="n"/>
      <c r="M226" s="17" t="n"/>
      <c r="N226" s="17" t="n"/>
      <c r="O226" s="17" t="n"/>
    </row>
    <row r="227">
      <c r="A227" s="23" t="n"/>
      <c r="B227" s="17" t="n"/>
      <c r="C227" s="17" t="n"/>
      <c r="D227" s="17" t="n"/>
      <c r="E227" s="17" t="n"/>
      <c r="F227" s="17" t="n"/>
      <c r="G227" s="24">
        <f>IF(F227="","",IFERROR(INDEX(Plan!$C:$C,MATCH(F227,Plan!$A:$A,0)),"unknown ID"))</f>
        <v/>
      </c>
      <c r="H227" s="24">
        <f>IF(F227="","",IFERROR(INDEX(Plan!$D:$D,MATCH(F227,Plan!$A:$A,0)),""))</f>
        <v/>
      </c>
      <c r="I227" s="17" t="n"/>
      <c r="J227" s="17" t="n"/>
      <c r="K227" s="17" t="n"/>
      <c r="L227" s="17" t="n"/>
      <c r="M227" s="17" t="n"/>
      <c r="N227" s="17" t="n"/>
      <c r="O227" s="17" t="n"/>
    </row>
    <row r="228">
      <c r="A228" s="23" t="n"/>
      <c r="B228" s="17" t="n"/>
      <c r="C228" s="17" t="n"/>
      <c r="D228" s="17" t="n"/>
      <c r="E228" s="17" t="n"/>
      <c r="F228" s="17" t="n"/>
      <c r="G228" s="24">
        <f>IF(F228="","",IFERROR(INDEX(Plan!$C:$C,MATCH(F228,Plan!$A:$A,0)),"unknown ID"))</f>
        <v/>
      </c>
      <c r="H228" s="24">
        <f>IF(F228="","",IFERROR(INDEX(Plan!$D:$D,MATCH(F228,Plan!$A:$A,0)),""))</f>
        <v/>
      </c>
      <c r="I228" s="17" t="n"/>
      <c r="J228" s="17" t="n"/>
      <c r="K228" s="17" t="n"/>
      <c r="L228" s="17" t="n"/>
      <c r="M228" s="17" t="n"/>
      <c r="N228" s="17" t="n"/>
      <c r="O228" s="17" t="n"/>
    </row>
    <row r="229">
      <c r="A229" s="23" t="n"/>
      <c r="B229" s="17" t="n"/>
      <c r="C229" s="17" t="n"/>
      <c r="D229" s="17" t="n"/>
      <c r="E229" s="17" t="n"/>
      <c r="F229" s="17" t="n"/>
      <c r="G229" s="24">
        <f>IF(F229="","",IFERROR(INDEX(Plan!$C:$C,MATCH(F229,Plan!$A:$A,0)),"unknown ID"))</f>
        <v/>
      </c>
      <c r="H229" s="24">
        <f>IF(F229="","",IFERROR(INDEX(Plan!$D:$D,MATCH(F229,Plan!$A:$A,0)),""))</f>
        <v/>
      </c>
      <c r="I229" s="17" t="n"/>
      <c r="J229" s="17" t="n"/>
      <c r="K229" s="17" t="n"/>
      <c r="L229" s="17" t="n"/>
      <c r="M229" s="17" t="n"/>
      <c r="N229" s="17" t="n"/>
      <c r="O229" s="17" t="n"/>
    </row>
    <row r="230">
      <c r="A230" s="23" t="n"/>
      <c r="B230" s="17" t="n"/>
      <c r="C230" s="17" t="n"/>
      <c r="D230" s="17" t="n"/>
      <c r="E230" s="17" t="n"/>
      <c r="F230" s="17" t="n"/>
      <c r="G230" s="24">
        <f>IF(F230="","",IFERROR(INDEX(Plan!$C:$C,MATCH(F230,Plan!$A:$A,0)),"unknown ID"))</f>
        <v/>
      </c>
      <c r="H230" s="24">
        <f>IF(F230="","",IFERROR(INDEX(Plan!$D:$D,MATCH(F230,Plan!$A:$A,0)),""))</f>
        <v/>
      </c>
      <c r="I230" s="17" t="n"/>
      <c r="J230" s="17" t="n"/>
      <c r="K230" s="17" t="n"/>
      <c r="L230" s="17" t="n"/>
      <c r="M230" s="17" t="n"/>
      <c r="N230" s="17" t="n"/>
      <c r="O230" s="17" t="n"/>
    </row>
    <row r="231">
      <c r="A231" s="23" t="n"/>
      <c r="B231" s="17" t="n"/>
      <c r="C231" s="17" t="n"/>
      <c r="D231" s="17" t="n"/>
      <c r="E231" s="17" t="n"/>
      <c r="F231" s="17" t="n"/>
      <c r="G231" s="24">
        <f>IF(F231="","",IFERROR(INDEX(Plan!$C:$C,MATCH(F231,Plan!$A:$A,0)),"unknown ID"))</f>
        <v/>
      </c>
      <c r="H231" s="24">
        <f>IF(F231="","",IFERROR(INDEX(Plan!$D:$D,MATCH(F231,Plan!$A:$A,0)),""))</f>
        <v/>
      </c>
      <c r="I231" s="17" t="n"/>
      <c r="J231" s="17" t="n"/>
      <c r="K231" s="17" t="n"/>
      <c r="L231" s="17" t="n"/>
      <c r="M231" s="17" t="n"/>
      <c r="N231" s="17" t="n"/>
      <c r="O231" s="17" t="n"/>
    </row>
    <row r="232">
      <c r="A232" s="23" t="n"/>
      <c r="B232" s="17" t="n"/>
      <c r="C232" s="17" t="n"/>
      <c r="D232" s="17" t="n"/>
      <c r="E232" s="17" t="n"/>
      <c r="F232" s="17" t="n"/>
      <c r="G232" s="24">
        <f>IF(F232="","",IFERROR(INDEX(Plan!$C:$C,MATCH(F232,Plan!$A:$A,0)),"unknown ID"))</f>
        <v/>
      </c>
      <c r="H232" s="24">
        <f>IF(F232="","",IFERROR(INDEX(Plan!$D:$D,MATCH(F232,Plan!$A:$A,0)),""))</f>
        <v/>
      </c>
      <c r="I232" s="17" t="n"/>
      <c r="J232" s="17" t="n"/>
      <c r="K232" s="17" t="n"/>
      <c r="L232" s="17" t="n"/>
      <c r="M232" s="17" t="n"/>
      <c r="N232" s="17" t="n"/>
      <c r="O232" s="17" t="n"/>
    </row>
    <row r="233">
      <c r="A233" s="23" t="n"/>
      <c r="B233" s="17" t="n"/>
      <c r="C233" s="17" t="n"/>
      <c r="D233" s="17" t="n"/>
      <c r="E233" s="17" t="n"/>
      <c r="F233" s="17" t="n"/>
      <c r="G233" s="24">
        <f>IF(F233="","",IFERROR(INDEX(Plan!$C:$C,MATCH(F233,Plan!$A:$A,0)),"unknown ID"))</f>
        <v/>
      </c>
      <c r="H233" s="24">
        <f>IF(F233="","",IFERROR(INDEX(Plan!$D:$D,MATCH(F233,Plan!$A:$A,0)),""))</f>
        <v/>
      </c>
      <c r="I233" s="17" t="n"/>
      <c r="J233" s="17" t="n"/>
      <c r="K233" s="17" t="n"/>
      <c r="L233" s="17" t="n"/>
      <c r="M233" s="17" t="n"/>
      <c r="N233" s="17" t="n"/>
      <c r="O233" s="17" t="n"/>
    </row>
    <row r="234">
      <c r="A234" s="23" t="n"/>
      <c r="B234" s="17" t="n"/>
      <c r="C234" s="17" t="n"/>
      <c r="D234" s="17" t="n"/>
      <c r="E234" s="17" t="n"/>
      <c r="F234" s="17" t="n"/>
      <c r="G234" s="24">
        <f>IF(F234="","",IFERROR(INDEX(Plan!$C:$C,MATCH(F234,Plan!$A:$A,0)),"unknown ID"))</f>
        <v/>
      </c>
      <c r="H234" s="24">
        <f>IF(F234="","",IFERROR(INDEX(Plan!$D:$D,MATCH(F234,Plan!$A:$A,0)),""))</f>
        <v/>
      </c>
      <c r="I234" s="17" t="n"/>
      <c r="J234" s="17" t="n"/>
      <c r="K234" s="17" t="n"/>
      <c r="L234" s="17" t="n"/>
      <c r="M234" s="17" t="n"/>
      <c r="N234" s="17" t="n"/>
      <c r="O234" s="17" t="n"/>
    </row>
    <row r="235">
      <c r="A235" s="23" t="n"/>
      <c r="B235" s="17" t="n"/>
      <c r="C235" s="17" t="n"/>
      <c r="D235" s="17" t="n"/>
      <c r="E235" s="17" t="n"/>
      <c r="F235" s="17" t="n"/>
      <c r="G235" s="24">
        <f>IF(F235="","",IFERROR(INDEX(Plan!$C:$C,MATCH(F235,Plan!$A:$A,0)),"unknown ID"))</f>
        <v/>
      </c>
      <c r="H235" s="24">
        <f>IF(F235="","",IFERROR(INDEX(Plan!$D:$D,MATCH(F235,Plan!$A:$A,0)),""))</f>
        <v/>
      </c>
      <c r="I235" s="17" t="n"/>
      <c r="J235" s="17" t="n"/>
      <c r="K235" s="17" t="n"/>
      <c r="L235" s="17" t="n"/>
      <c r="M235" s="17" t="n"/>
      <c r="N235" s="17" t="n"/>
      <c r="O235" s="17" t="n"/>
    </row>
    <row r="236">
      <c r="A236" s="23" t="n"/>
      <c r="B236" s="17" t="n"/>
      <c r="C236" s="17" t="n"/>
      <c r="D236" s="17" t="n"/>
      <c r="E236" s="17" t="n"/>
      <c r="F236" s="17" t="n"/>
      <c r="G236" s="24">
        <f>IF(F236="","",IFERROR(INDEX(Plan!$C:$C,MATCH(F236,Plan!$A:$A,0)),"unknown ID"))</f>
        <v/>
      </c>
      <c r="H236" s="24">
        <f>IF(F236="","",IFERROR(INDEX(Plan!$D:$D,MATCH(F236,Plan!$A:$A,0)),""))</f>
        <v/>
      </c>
      <c r="I236" s="17" t="n"/>
      <c r="J236" s="17" t="n"/>
      <c r="K236" s="17" t="n"/>
      <c r="L236" s="17" t="n"/>
      <c r="M236" s="17" t="n"/>
      <c r="N236" s="17" t="n"/>
      <c r="O236" s="17" t="n"/>
    </row>
    <row r="237">
      <c r="A237" s="23" t="n"/>
      <c r="B237" s="17" t="n"/>
      <c r="C237" s="17" t="n"/>
      <c r="D237" s="17" t="n"/>
      <c r="E237" s="17" t="n"/>
      <c r="F237" s="17" t="n"/>
      <c r="G237" s="24">
        <f>IF(F237="","",IFERROR(INDEX(Plan!$C:$C,MATCH(F237,Plan!$A:$A,0)),"unknown ID"))</f>
        <v/>
      </c>
      <c r="H237" s="24">
        <f>IF(F237="","",IFERROR(INDEX(Plan!$D:$D,MATCH(F237,Plan!$A:$A,0)),""))</f>
        <v/>
      </c>
      <c r="I237" s="17" t="n"/>
      <c r="J237" s="17" t="n"/>
      <c r="K237" s="17" t="n"/>
      <c r="L237" s="17" t="n"/>
      <c r="M237" s="17" t="n"/>
      <c r="N237" s="17" t="n"/>
      <c r="O237" s="17" t="n"/>
    </row>
    <row r="238">
      <c r="A238" s="23" t="n"/>
      <c r="B238" s="17" t="n"/>
      <c r="C238" s="17" t="n"/>
      <c r="D238" s="17" t="n"/>
      <c r="E238" s="17" t="n"/>
      <c r="F238" s="17" t="n"/>
      <c r="G238" s="24">
        <f>IF(F238="","",IFERROR(INDEX(Plan!$C:$C,MATCH(F238,Plan!$A:$A,0)),"unknown ID"))</f>
        <v/>
      </c>
      <c r="H238" s="24">
        <f>IF(F238="","",IFERROR(INDEX(Plan!$D:$D,MATCH(F238,Plan!$A:$A,0)),""))</f>
        <v/>
      </c>
      <c r="I238" s="17" t="n"/>
      <c r="J238" s="17" t="n"/>
      <c r="K238" s="17" t="n"/>
      <c r="L238" s="17" t="n"/>
      <c r="M238" s="17" t="n"/>
      <c r="N238" s="17" t="n"/>
      <c r="O238" s="17" t="n"/>
    </row>
    <row r="239">
      <c r="A239" s="23" t="n"/>
      <c r="B239" s="17" t="n"/>
      <c r="C239" s="17" t="n"/>
      <c r="D239" s="17" t="n"/>
      <c r="E239" s="17" t="n"/>
      <c r="F239" s="17" t="n"/>
      <c r="G239" s="24">
        <f>IF(F239="","",IFERROR(INDEX(Plan!$C:$C,MATCH(F239,Plan!$A:$A,0)),"unknown ID"))</f>
        <v/>
      </c>
      <c r="H239" s="24">
        <f>IF(F239="","",IFERROR(INDEX(Plan!$D:$D,MATCH(F239,Plan!$A:$A,0)),""))</f>
        <v/>
      </c>
      <c r="I239" s="17" t="n"/>
      <c r="J239" s="17" t="n"/>
      <c r="K239" s="17" t="n"/>
      <c r="L239" s="17" t="n"/>
      <c r="M239" s="17" t="n"/>
      <c r="N239" s="17" t="n"/>
      <c r="O239" s="17" t="n"/>
    </row>
    <row r="240">
      <c r="A240" s="23" t="n"/>
      <c r="B240" s="17" t="n"/>
      <c r="C240" s="17" t="n"/>
      <c r="D240" s="17" t="n"/>
      <c r="E240" s="17" t="n"/>
      <c r="F240" s="17" t="n"/>
      <c r="G240" s="24">
        <f>IF(F240="","",IFERROR(INDEX(Plan!$C:$C,MATCH(F240,Plan!$A:$A,0)),"unknown ID"))</f>
        <v/>
      </c>
      <c r="H240" s="24">
        <f>IF(F240="","",IFERROR(INDEX(Plan!$D:$D,MATCH(F240,Plan!$A:$A,0)),""))</f>
        <v/>
      </c>
      <c r="I240" s="17" t="n"/>
      <c r="J240" s="17" t="n"/>
      <c r="K240" s="17" t="n"/>
      <c r="L240" s="17" t="n"/>
      <c r="M240" s="17" t="n"/>
      <c r="N240" s="17" t="n"/>
      <c r="O240" s="17" t="n"/>
    </row>
    <row r="241">
      <c r="A241" s="23" t="n"/>
      <c r="B241" s="17" t="n"/>
      <c r="C241" s="17" t="n"/>
      <c r="D241" s="17" t="n"/>
      <c r="E241" s="17" t="n"/>
      <c r="F241" s="17" t="n"/>
      <c r="G241" s="24">
        <f>IF(F241="","",IFERROR(INDEX(Plan!$C:$C,MATCH(F241,Plan!$A:$A,0)),"unknown ID"))</f>
        <v/>
      </c>
      <c r="H241" s="24">
        <f>IF(F241="","",IFERROR(INDEX(Plan!$D:$D,MATCH(F241,Plan!$A:$A,0)),""))</f>
        <v/>
      </c>
      <c r="I241" s="17" t="n"/>
      <c r="J241" s="17" t="n"/>
      <c r="K241" s="17" t="n"/>
      <c r="L241" s="17" t="n"/>
      <c r="M241" s="17" t="n"/>
      <c r="N241" s="17" t="n"/>
      <c r="O241" s="17" t="n"/>
    </row>
    <row r="242">
      <c r="A242" s="23" t="n"/>
      <c r="B242" s="17" t="n"/>
      <c r="C242" s="17" t="n"/>
      <c r="D242" s="17" t="n"/>
      <c r="E242" s="17" t="n"/>
      <c r="F242" s="17" t="n"/>
      <c r="G242" s="24">
        <f>IF(F242="","",IFERROR(INDEX(Plan!$C:$C,MATCH(F242,Plan!$A:$A,0)),"unknown ID"))</f>
        <v/>
      </c>
      <c r="H242" s="24">
        <f>IF(F242="","",IFERROR(INDEX(Plan!$D:$D,MATCH(F242,Plan!$A:$A,0)),""))</f>
        <v/>
      </c>
      <c r="I242" s="17" t="n"/>
      <c r="J242" s="17" t="n"/>
      <c r="K242" s="17" t="n"/>
      <c r="L242" s="17" t="n"/>
      <c r="M242" s="17" t="n"/>
      <c r="N242" s="17" t="n"/>
      <c r="O242" s="17" t="n"/>
    </row>
    <row r="243">
      <c r="A243" s="23" t="n"/>
      <c r="B243" s="17" t="n"/>
      <c r="C243" s="17" t="n"/>
      <c r="D243" s="17" t="n"/>
      <c r="E243" s="17" t="n"/>
      <c r="F243" s="17" t="n"/>
      <c r="G243" s="24">
        <f>IF(F243="","",IFERROR(INDEX(Plan!$C:$C,MATCH(F243,Plan!$A:$A,0)),"unknown ID"))</f>
        <v/>
      </c>
      <c r="H243" s="24">
        <f>IF(F243="","",IFERROR(INDEX(Plan!$D:$D,MATCH(F243,Plan!$A:$A,0)),""))</f>
        <v/>
      </c>
      <c r="I243" s="17" t="n"/>
      <c r="J243" s="17" t="n"/>
      <c r="K243" s="17" t="n"/>
      <c r="L243" s="17" t="n"/>
      <c r="M243" s="17" t="n"/>
      <c r="N243" s="17" t="n"/>
      <c r="O243" s="17" t="n"/>
    </row>
    <row r="244">
      <c r="A244" s="23" t="n"/>
      <c r="B244" s="17" t="n"/>
      <c r="C244" s="17" t="n"/>
      <c r="D244" s="17" t="n"/>
      <c r="E244" s="17" t="n"/>
      <c r="F244" s="17" t="n"/>
      <c r="G244" s="24">
        <f>IF(F244="","",IFERROR(INDEX(Plan!$C:$C,MATCH(F244,Plan!$A:$A,0)),"unknown ID"))</f>
        <v/>
      </c>
      <c r="H244" s="24">
        <f>IF(F244="","",IFERROR(INDEX(Plan!$D:$D,MATCH(F244,Plan!$A:$A,0)),""))</f>
        <v/>
      </c>
      <c r="I244" s="17" t="n"/>
      <c r="J244" s="17" t="n"/>
      <c r="K244" s="17" t="n"/>
      <c r="L244" s="17" t="n"/>
      <c r="M244" s="17" t="n"/>
      <c r="N244" s="17" t="n"/>
      <c r="O244" s="17" t="n"/>
    </row>
    <row r="245">
      <c r="A245" s="23" t="n"/>
      <c r="B245" s="17" t="n"/>
      <c r="C245" s="17" t="n"/>
      <c r="D245" s="17" t="n"/>
      <c r="E245" s="17" t="n"/>
      <c r="F245" s="17" t="n"/>
      <c r="G245" s="24">
        <f>IF(F245="","",IFERROR(INDEX(Plan!$C:$C,MATCH(F245,Plan!$A:$A,0)),"unknown ID"))</f>
        <v/>
      </c>
      <c r="H245" s="24">
        <f>IF(F245="","",IFERROR(INDEX(Plan!$D:$D,MATCH(F245,Plan!$A:$A,0)),""))</f>
        <v/>
      </c>
      <c r="I245" s="17" t="n"/>
      <c r="J245" s="17" t="n"/>
      <c r="K245" s="17" t="n"/>
      <c r="L245" s="17" t="n"/>
      <c r="M245" s="17" t="n"/>
      <c r="N245" s="17" t="n"/>
      <c r="O245" s="17" t="n"/>
    </row>
    <row r="246">
      <c r="A246" s="23" t="n"/>
      <c r="B246" s="17" t="n"/>
      <c r="C246" s="17" t="n"/>
      <c r="D246" s="17" t="n"/>
      <c r="E246" s="17" t="n"/>
      <c r="F246" s="17" t="n"/>
      <c r="G246" s="24">
        <f>IF(F246="","",IFERROR(INDEX(Plan!$C:$C,MATCH(F246,Plan!$A:$A,0)),"unknown ID"))</f>
        <v/>
      </c>
      <c r="H246" s="24">
        <f>IF(F246="","",IFERROR(INDEX(Plan!$D:$D,MATCH(F246,Plan!$A:$A,0)),""))</f>
        <v/>
      </c>
      <c r="I246" s="17" t="n"/>
      <c r="J246" s="17" t="n"/>
      <c r="K246" s="17" t="n"/>
      <c r="L246" s="17" t="n"/>
      <c r="M246" s="17" t="n"/>
      <c r="N246" s="17" t="n"/>
      <c r="O246" s="17" t="n"/>
    </row>
    <row r="247">
      <c r="A247" s="23" t="n"/>
      <c r="B247" s="17" t="n"/>
      <c r="C247" s="17" t="n"/>
      <c r="D247" s="17" t="n"/>
      <c r="E247" s="17" t="n"/>
      <c r="F247" s="17" t="n"/>
      <c r="G247" s="24">
        <f>IF(F247="","",IFERROR(INDEX(Plan!$C:$C,MATCH(F247,Plan!$A:$A,0)),"unknown ID"))</f>
        <v/>
      </c>
      <c r="H247" s="24">
        <f>IF(F247="","",IFERROR(INDEX(Plan!$D:$D,MATCH(F247,Plan!$A:$A,0)),""))</f>
        <v/>
      </c>
      <c r="I247" s="17" t="n"/>
      <c r="J247" s="17" t="n"/>
      <c r="K247" s="17" t="n"/>
      <c r="L247" s="17" t="n"/>
      <c r="M247" s="17" t="n"/>
      <c r="N247" s="17" t="n"/>
      <c r="O247" s="17" t="n"/>
    </row>
    <row r="248">
      <c r="A248" s="23" t="n"/>
      <c r="B248" s="17" t="n"/>
      <c r="C248" s="17" t="n"/>
      <c r="D248" s="17" t="n"/>
      <c r="E248" s="17" t="n"/>
      <c r="F248" s="17" t="n"/>
      <c r="G248" s="24">
        <f>IF(F248="","",IFERROR(INDEX(Plan!$C:$C,MATCH(F248,Plan!$A:$A,0)),"unknown ID"))</f>
        <v/>
      </c>
      <c r="H248" s="24">
        <f>IF(F248="","",IFERROR(INDEX(Plan!$D:$D,MATCH(F248,Plan!$A:$A,0)),""))</f>
        <v/>
      </c>
      <c r="I248" s="17" t="n"/>
      <c r="J248" s="17" t="n"/>
      <c r="K248" s="17" t="n"/>
      <c r="L248" s="17" t="n"/>
      <c r="M248" s="17" t="n"/>
      <c r="N248" s="17" t="n"/>
      <c r="O248" s="17" t="n"/>
    </row>
    <row r="249">
      <c r="A249" s="23" t="n"/>
      <c r="B249" s="17" t="n"/>
      <c r="C249" s="17" t="n"/>
      <c r="D249" s="17" t="n"/>
      <c r="E249" s="17" t="n"/>
      <c r="F249" s="17" t="n"/>
      <c r="G249" s="24">
        <f>IF(F249="","",IFERROR(INDEX(Plan!$C:$C,MATCH(F249,Plan!$A:$A,0)),"unknown ID"))</f>
        <v/>
      </c>
      <c r="H249" s="24">
        <f>IF(F249="","",IFERROR(INDEX(Plan!$D:$D,MATCH(F249,Plan!$A:$A,0)),""))</f>
        <v/>
      </c>
      <c r="I249" s="17" t="n"/>
      <c r="J249" s="17" t="n"/>
      <c r="K249" s="17" t="n"/>
      <c r="L249" s="17" t="n"/>
      <c r="M249" s="17" t="n"/>
      <c r="N249" s="17" t="n"/>
      <c r="O249" s="17" t="n"/>
    </row>
    <row r="250">
      <c r="A250" s="23" t="n"/>
      <c r="B250" s="17" t="n"/>
      <c r="C250" s="17" t="n"/>
      <c r="D250" s="17" t="n"/>
      <c r="E250" s="17" t="n"/>
      <c r="F250" s="17" t="n"/>
      <c r="G250" s="24">
        <f>IF(F250="","",IFERROR(INDEX(Plan!$C:$C,MATCH(F250,Plan!$A:$A,0)),"unknown ID"))</f>
        <v/>
      </c>
      <c r="H250" s="24">
        <f>IF(F250="","",IFERROR(INDEX(Plan!$D:$D,MATCH(F250,Plan!$A:$A,0)),""))</f>
        <v/>
      </c>
      <c r="I250" s="17" t="n"/>
      <c r="J250" s="17" t="n"/>
      <c r="K250" s="17" t="n"/>
      <c r="L250" s="17" t="n"/>
      <c r="M250" s="17" t="n"/>
      <c r="N250" s="17" t="n"/>
      <c r="O250" s="17" t="n"/>
    </row>
    <row r="251">
      <c r="A251" s="23" t="n"/>
      <c r="B251" s="17" t="n"/>
      <c r="C251" s="17" t="n"/>
      <c r="D251" s="17" t="n"/>
      <c r="E251" s="17" t="n"/>
      <c r="F251" s="17" t="n"/>
      <c r="G251" s="24">
        <f>IF(F251="","",IFERROR(INDEX(Plan!$C:$C,MATCH(F251,Plan!$A:$A,0)),"unknown ID"))</f>
        <v/>
      </c>
      <c r="H251" s="24">
        <f>IF(F251="","",IFERROR(INDEX(Plan!$D:$D,MATCH(F251,Plan!$A:$A,0)),""))</f>
        <v/>
      </c>
      <c r="I251" s="17" t="n"/>
      <c r="J251" s="17" t="n"/>
      <c r="K251" s="17" t="n"/>
      <c r="L251" s="17" t="n"/>
      <c r="M251" s="17" t="n"/>
      <c r="N251" s="17" t="n"/>
      <c r="O251" s="17" t="n"/>
    </row>
    <row r="252">
      <c r="A252" s="23" t="n"/>
      <c r="B252" s="17" t="n"/>
      <c r="C252" s="17" t="n"/>
      <c r="D252" s="17" t="n"/>
      <c r="E252" s="17" t="n"/>
      <c r="F252" s="17" t="n"/>
      <c r="G252" s="24">
        <f>IF(F252="","",IFERROR(INDEX(Plan!$C:$C,MATCH(F252,Plan!$A:$A,0)),"unknown ID"))</f>
        <v/>
      </c>
      <c r="H252" s="24">
        <f>IF(F252="","",IFERROR(INDEX(Plan!$D:$D,MATCH(F252,Plan!$A:$A,0)),""))</f>
        <v/>
      </c>
      <c r="I252" s="17" t="n"/>
      <c r="J252" s="17" t="n"/>
      <c r="K252" s="17" t="n"/>
      <c r="L252" s="17" t="n"/>
      <c r="M252" s="17" t="n"/>
      <c r="N252" s="17" t="n"/>
      <c r="O252" s="17" t="n"/>
    </row>
    <row r="253">
      <c r="A253" s="23" t="n"/>
      <c r="B253" s="17" t="n"/>
      <c r="C253" s="17" t="n"/>
      <c r="D253" s="17" t="n"/>
      <c r="E253" s="17" t="n"/>
      <c r="F253" s="17" t="n"/>
      <c r="G253" s="24">
        <f>IF(F253="","",IFERROR(INDEX(Plan!$C:$C,MATCH(F253,Plan!$A:$A,0)),"unknown ID"))</f>
        <v/>
      </c>
      <c r="H253" s="24">
        <f>IF(F253="","",IFERROR(INDEX(Plan!$D:$D,MATCH(F253,Plan!$A:$A,0)),""))</f>
        <v/>
      </c>
      <c r="I253" s="17" t="n"/>
      <c r="J253" s="17" t="n"/>
      <c r="K253" s="17" t="n"/>
      <c r="L253" s="17" t="n"/>
      <c r="M253" s="17" t="n"/>
      <c r="N253" s="17" t="n"/>
      <c r="O253" s="17" t="n"/>
    </row>
    <row r="254">
      <c r="A254" s="23" t="n"/>
      <c r="B254" s="17" t="n"/>
      <c r="C254" s="17" t="n"/>
      <c r="D254" s="17" t="n"/>
      <c r="E254" s="17" t="n"/>
      <c r="F254" s="17" t="n"/>
      <c r="G254" s="24">
        <f>IF(F254="","",IFERROR(INDEX(Plan!$C:$C,MATCH(F254,Plan!$A:$A,0)),"unknown ID"))</f>
        <v/>
      </c>
      <c r="H254" s="24">
        <f>IF(F254="","",IFERROR(INDEX(Plan!$D:$D,MATCH(F254,Plan!$A:$A,0)),""))</f>
        <v/>
      </c>
      <c r="I254" s="17" t="n"/>
      <c r="J254" s="17" t="n"/>
      <c r="K254" s="17" t="n"/>
      <c r="L254" s="17" t="n"/>
      <c r="M254" s="17" t="n"/>
      <c r="N254" s="17" t="n"/>
      <c r="O254" s="17" t="n"/>
    </row>
    <row r="255">
      <c r="A255" s="23" t="n"/>
      <c r="B255" s="17" t="n"/>
      <c r="C255" s="17" t="n"/>
      <c r="D255" s="17" t="n"/>
      <c r="E255" s="17" t="n"/>
      <c r="F255" s="17" t="n"/>
      <c r="G255" s="24">
        <f>IF(F255="","",IFERROR(INDEX(Plan!$C:$C,MATCH(F255,Plan!$A:$A,0)),"unknown ID"))</f>
        <v/>
      </c>
      <c r="H255" s="24">
        <f>IF(F255="","",IFERROR(INDEX(Plan!$D:$D,MATCH(F255,Plan!$A:$A,0)),""))</f>
        <v/>
      </c>
      <c r="I255" s="17" t="n"/>
      <c r="J255" s="17" t="n"/>
      <c r="K255" s="17" t="n"/>
      <c r="L255" s="17" t="n"/>
      <c r="M255" s="17" t="n"/>
      <c r="N255" s="17" t="n"/>
      <c r="O255" s="17" t="n"/>
    </row>
    <row r="256">
      <c r="A256" s="23" t="n"/>
      <c r="B256" s="17" t="n"/>
      <c r="C256" s="17" t="n"/>
      <c r="D256" s="17" t="n"/>
      <c r="E256" s="17" t="n"/>
      <c r="F256" s="17" t="n"/>
      <c r="G256" s="24">
        <f>IF(F256="","",IFERROR(INDEX(Plan!$C:$C,MATCH(F256,Plan!$A:$A,0)),"unknown ID"))</f>
        <v/>
      </c>
      <c r="H256" s="24">
        <f>IF(F256="","",IFERROR(INDEX(Plan!$D:$D,MATCH(F256,Plan!$A:$A,0)),""))</f>
        <v/>
      </c>
      <c r="I256" s="17" t="n"/>
      <c r="J256" s="17" t="n"/>
      <c r="K256" s="17" t="n"/>
      <c r="L256" s="17" t="n"/>
      <c r="M256" s="17" t="n"/>
      <c r="N256" s="17" t="n"/>
      <c r="O256" s="17" t="n"/>
    </row>
    <row r="257">
      <c r="A257" s="23" t="n"/>
      <c r="B257" s="17" t="n"/>
      <c r="C257" s="17" t="n"/>
      <c r="D257" s="17" t="n"/>
      <c r="E257" s="17" t="n"/>
      <c r="F257" s="17" t="n"/>
      <c r="G257" s="24">
        <f>IF(F257="","",IFERROR(INDEX(Plan!$C:$C,MATCH(F257,Plan!$A:$A,0)),"unknown ID"))</f>
        <v/>
      </c>
      <c r="H257" s="24">
        <f>IF(F257="","",IFERROR(INDEX(Plan!$D:$D,MATCH(F257,Plan!$A:$A,0)),""))</f>
        <v/>
      </c>
      <c r="I257" s="17" t="n"/>
      <c r="J257" s="17" t="n"/>
      <c r="K257" s="17" t="n"/>
      <c r="L257" s="17" t="n"/>
      <c r="M257" s="17" t="n"/>
      <c r="N257" s="17" t="n"/>
      <c r="O257" s="17" t="n"/>
    </row>
    <row r="258">
      <c r="A258" s="23" t="n"/>
      <c r="B258" s="17" t="n"/>
      <c r="C258" s="17" t="n"/>
      <c r="D258" s="17" t="n"/>
      <c r="E258" s="17" t="n"/>
      <c r="F258" s="17" t="n"/>
      <c r="G258" s="24">
        <f>IF(F258="","",IFERROR(INDEX(Plan!$C:$C,MATCH(F258,Plan!$A:$A,0)),"unknown ID"))</f>
        <v/>
      </c>
      <c r="H258" s="24">
        <f>IF(F258="","",IFERROR(INDEX(Plan!$D:$D,MATCH(F258,Plan!$A:$A,0)),""))</f>
        <v/>
      </c>
      <c r="I258" s="17" t="n"/>
      <c r="J258" s="17" t="n"/>
      <c r="K258" s="17" t="n"/>
      <c r="L258" s="17" t="n"/>
      <c r="M258" s="17" t="n"/>
      <c r="N258" s="17" t="n"/>
      <c r="O258" s="17" t="n"/>
    </row>
    <row r="259">
      <c r="A259" s="23" t="n"/>
      <c r="B259" s="17" t="n"/>
      <c r="C259" s="17" t="n"/>
      <c r="D259" s="17" t="n"/>
      <c r="E259" s="17" t="n"/>
      <c r="F259" s="17" t="n"/>
      <c r="G259" s="24">
        <f>IF(F259="","",IFERROR(INDEX(Plan!$C:$C,MATCH(F259,Plan!$A:$A,0)),"unknown ID"))</f>
        <v/>
      </c>
      <c r="H259" s="24">
        <f>IF(F259="","",IFERROR(INDEX(Plan!$D:$D,MATCH(F259,Plan!$A:$A,0)),""))</f>
        <v/>
      </c>
      <c r="I259" s="17" t="n"/>
      <c r="J259" s="17" t="n"/>
      <c r="K259" s="17" t="n"/>
      <c r="L259" s="17" t="n"/>
      <c r="M259" s="17" t="n"/>
      <c r="N259" s="17" t="n"/>
      <c r="O259" s="17" t="n"/>
    </row>
    <row r="260">
      <c r="A260" s="23" t="n"/>
      <c r="B260" s="17" t="n"/>
      <c r="C260" s="17" t="n"/>
      <c r="D260" s="17" t="n"/>
      <c r="E260" s="17" t="n"/>
      <c r="F260" s="17" t="n"/>
      <c r="G260" s="24">
        <f>IF(F260="","",IFERROR(INDEX(Plan!$C:$C,MATCH(F260,Plan!$A:$A,0)),"unknown ID"))</f>
        <v/>
      </c>
      <c r="H260" s="24">
        <f>IF(F260="","",IFERROR(INDEX(Plan!$D:$D,MATCH(F260,Plan!$A:$A,0)),""))</f>
        <v/>
      </c>
      <c r="I260" s="17" t="n"/>
      <c r="J260" s="17" t="n"/>
      <c r="K260" s="17" t="n"/>
      <c r="L260" s="17" t="n"/>
      <c r="M260" s="17" t="n"/>
      <c r="N260" s="17" t="n"/>
      <c r="O260" s="17" t="n"/>
    </row>
    <row r="261">
      <c r="A261" s="23" t="n"/>
      <c r="B261" s="17" t="n"/>
      <c r="C261" s="17" t="n"/>
      <c r="D261" s="17" t="n"/>
      <c r="E261" s="17" t="n"/>
      <c r="F261" s="17" t="n"/>
      <c r="G261" s="24">
        <f>IF(F261="","",IFERROR(INDEX(Plan!$C:$C,MATCH(F261,Plan!$A:$A,0)),"unknown ID"))</f>
        <v/>
      </c>
      <c r="H261" s="24">
        <f>IF(F261="","",IFERROR(INDEX(Plan!$D:$D,MATCH(F261,Plan!$A:$A,0)),""))</f>
        <v/>
      </c>
      <c r="I261" s="17" t="n"/>
      <c r="J261" s="17" t="n"/>
      <c r="K261" s="17" t="n"/>
      <c r="L261" s="17" t="n"/>
      <c r="M261" s="17" t="n"/>
      <c r="N261" s="17" t="n"/>
      <c r="O261" s="17" t="n"/>
    </row>
    <row r="262">
      <c r="A262" s="23" t="n"/>
      <c r="B262" s="17" t="n"/>
      <c r="C262" s="17" t="n"/>
      <c r="D262" s="17" t="n"/>
      <c r="E262" s="17" t="n"/>
      <c r="F262" s="17" t="n"/>
      <c r="G262" s="24">
        <f>IF(F262="","",IFERROR(INDEX(Plan!$C:$C,MATCH(F262,Plan!$A:$A,0)),"unknown ID"))</f>
        <v/>
      </c>
      <c r="H262" s="24">
        <f>IF(F262="","",IFERROR(INDEX(Plan!$D:$D,MATCH(F262,Plan!$A:$A,0)),""))</f>
        <v/>
      </c>
      <c r="I262" s="17" t="n"/>
      <c r="J262" s="17" t="n"/>
      <c r="K262" s="17" t="n"/>
      <c r="L262" s="17" t="n"/>
      <c r="M262" s="17" t="n"/>
      <c r="N262" s="17" t="n"/>
      <c r="O262" s="17" t="n"/>
    </row>
    <row r="263">
      <c r="A263" s="23" t="n"/>
      <c r="B263" s="17" t="n"/>
      <c r="C263" s="17" t="n"/>
      <c r="D263" s="17" t="n"/>
      <c r="E263" s="17" t="n"/>
      <c r="F263" s="17" t="n"/>
      <c r="G263" s="24">
        <f>IF(F263="","",IFERROR(INDEX(Plan!$C:$C,MATCH(F263,Plan!$A:$A,0)),"unknown ID"))</f>
        <v/>
      </c>
      <c r="H263" s="24">
        <f>IF(F263="","",IFERROR(INDEX(Plan!$D:$D,MATCH(F263,Plan!$A:$A,0)),""))</f>
        <v/>
      </c>
      <c r="I263" s="17" t="n"/>
      <c r="J263" s="17" t="n"/>
      <c r="K263" s="17" t="n"/>
      <c r="L263" s="17" t="n"/>
      <c r="M263" s="17" t="n"/>
      <c r="N263" s="17" t="n"/>
      <c r="O263" s="17" t="n"/>
    </row>
    <row r="264">
      <c r="A264" s="23" t="n"/>
      <c r="B264" s="17" t="n"/>
      <c r="C264" s="17" t="n"/>
      <c r="D264" s="17" t="n"/>
      <c r="E264" s="17" t="n"/>
      <c r="F264" s="17" t="n"/>
      <c r="G264" s="24">
        <f>IF(F264="","",IFERROR(INDEX(Plan!$C:$C,MATCH(F264,Plan!$A:$A,0)),"unknown ID"))</f>
        <v/>
      </c>
      <c r="H264" s="24">
        <f>IF(F264="","",IFERROR(INDEX(Plan!$D:$D,MATCH(F264,Plan!$A:$A,0)),""))</f>
        <v/>
      </c>
      <c r="I264" s="17" t="n"/>
      <c r="J264" s="17" t="n"/>
      <c r="K264" s="17" t="n"/>
      <c r="L264" s="17" t="n"/>
      <c r="M264" s="17" t="n"/>
      <c r="N264" s="17" t="n"/>
      <c r="O264" s="17" t="n"/>
    </row>
    <row r="265">
      <c r="A265" s="23" t="n"/>
      <c r="B265" s="17" t="n"/>
      <c r="C265" s="17" t="n"/>
      <c r="D265" s="17" t="n"/>
      <c r="E265" s="17" t="n"/>
      <c r="F265" s="17" t="n"/>
      <c r="G265" s="24">
        <f>IF(F265="","",IFERROR(INDEX(Plan!$C:$C,MATCH(F265,Plan!$A:$A,0)),"unknown ID"))</f>
        <v/>
      </c>
      <c r="H265" s="24">
        <f>IF(F265="","",IFERROR(INDEX(Plan!$D:$D,MATCH(F265,Plan!$A:$A,0)),""))</f>
        <v/>
      </c>
      <c r="I265" s="17" t="n"/>
      <c r="J265" s="17" t="n"/>
      <c r="K265" s="17" t="n"/>
      <c r="L265" s="17" t="n"/>
      <c r="M265" s="17" t="n"/>
      <c r="N265" s="17" t="n"/>
      <c r="O265" s="17" t="n"/>
    </row>
    <row r="266">
      <c r="A266" s="23" t="n"/>
      <c r="B266" s="17" t="n"/>
      <c r="C266" s="17" t="n"/>
      <c r="D266" s="17" t="n"/>
      <c r="E266" s="17" t="n"/>
      <c r="F266" s="17" t="n"/>
      <c r="G266" s="24">
        <f>IF(F266="","",IFERROR(INDEX(Plan!$C:$C,MATCH(F266,Plan!$A:$A,0)),"unknown ID"))</f>
        <v/>
      </c>
      <c r="H266" s="24">
        <f>IF(F266="","",IFERROR(INDEX(Plan!$D:$D,MATCH(F266,Plan!$A:$A,0)),""))</f>
        <v/>
      </c>
      <c r="I266" s="17" t="n"/>
      <c r="J266" s="17" t="n"/>
      <c r="K266" s="17" t="n"/>
      <c r="L266" s="17" t="n"/>
      <c r="M266" s="17" t="n"/>
      <c r="N266" s="17" t="n"/>
      <c r="O266" s="17" t="n"/>
    </row>
    <row r="267">
      <c r="A267" s="23" t="n"/>
      <c r="B267" s="17" t="n"/>
      <c r="C267" s="17" t="n"/>
      <c r="D267" s="17" t="n"/>
      <c r="E267" s="17" t="n"/>
      <c r="F267" s="17" t="n"/>
      <c r="G267" s="24">
        <f>IF(F267="","",IFERROR(INDEX(Plan!$C:$C,MATCH(F267,Plan!$A:$A,0)),"unknown ID"))</f>
        <v/>
      </c>
      <c r="H267" s="24">
        <f>IF(F267="","",IFERROR(INDEX(Plan!$D:$D,MATCH(F267,Plan!$A:$A,0)),""))</f>
        <v/>
      </c>
      <c r="I267" s="17" t="n"/>
      <c r="J267" s="17" t="n"/>
      <c r="K267" s="17" t="n"/>
      <c r="L267" s="17" t="n"/>
      <c r="M267" s="17" t="n"/>
      <c r="N267" s="17" t="n"/>
      <c r="O267" s="17" t="n"/>
    </row>
    <row r="268">
      <c r="A268" s="23" t="n"/>
      <c r="B268" s="17" t="n"/>
      <c r="C268" s="17" t="n"/>
      <c r="D268" s="17" t="n"/>
      <c r="E268" s="17" t="n"/>
      <c r="F268" s="17" t="n"/>
      <c r="G268" s="24">
        <f>IF(F268="","",IFERROR(INDEX(Plan!$C:$C,MATCH(F268,Plan!$A:$A,0)),"unknown ID"))</f>
        <v/>
      </c>
      <c r="H268" s="24">
        <f>IF(F268="","",IFERROR(INDEX(Plan!$D:$D,MATCH(F268,Plan!$A:$A,0)),""))</f>
        <v/>
      </c>
      <c r="I268" s="17" t="n"/>
      <c r="J268" s="17" t="n"/>
      <c r="K268" s="17" t="n"/>
      <c r="L268" s="17" t="n"/>
      <c r="M268" s="17" t="n"/>
      <c r="N268" s="17" t="n"/>
      <c r="O268" s="17" t="n"/>
    </row>
    <row r="269">
      <c r="A269" s="23" t="n"/>
      <c r="B269" s="17" t="n"/>
      <c r="C269" s="17" t="n"/>
      <c r="D269" s="17" t="n"/>
      <c r="E269" s="17" t="n"/>
      <c r="F269" s="17" t="n"/>
      <c r="G269" s="24">
        <f>IF(F269="","",IFERROR(INDEX(Plan!$C:$C,MATCH(F269,Plan!$A:$A,0)),"unknown ID"))</f>
        <v/>
      </c>
      <c r="H269" s="24">
        <f>IF(F269="","",IFERROR(INDEX(Plan!$D:$D,MATCH(F269,Plan!$A:$A,0)),""))</f>
        <v/>
      </c>
      <c r="I269" s="17" t="n"/>
      <c r="J269" s="17" t="n"/>
      <c r="K269" s="17" t="n"/>
      <c r="L269" s="17" t="n"/>
      <c r="M269" s="17" t="n"/>
      <c r="N269" s="17" t="n"/>
      <c r="O269" s="17" t="n"/>
    </row>
    <row r="270">
      <c r="A270" s="23" t="n"/>
      <c r="B270" s="17" t="n"/>
      <c r="C270" s="17" t="n"/>
      <c r="D270" s="17" t="n"/>
      <c r="E270" s="17" t="n"/>
      <c r="F270" s="17" t="n"/>
      <c r="G270" s="24">
        <f>IF(F270="","",IFERROR(INDEX(Plan!$C:$C,MATCH(F270,Plan!$A:$A,0)),"unknown ID"))</f>
        <v/>
      </c>
      <c r="H270" s="24">
        <f>IF(F270="","",IFERROR(INDEX(Plan!$D:$D,MATCH(F270,Plan!$A:$A,0)),""))</f>
        <v/>
      </c>
      <c r="I270" s="17" t="n"/>
      <c r="J270" s="17" t="n"/>
      <c r="K270" s="17" t="n"/>
      <c r="L270" s="17" t="n"/>
      <c r="M270" s="17" t="n"/>
      <c r="N270" s="17" t="n"/>
      <c r="O270" s="17" t="n"/>
    </row>
    <row r="271">
      <c r="A271" s="23" t="n"/>
      <c r="B271" s="17" t="n"/>
      <c r="C271" s="17" t="n"/>
      <c r="D271" s="17" t="n"/>
      <c r="E271" s="17" t="n"/>
      <c r="F271" s="17" t="n"/>
      <c r="G271" s="24">
        <f>IF(F271="","",IFERROR(INDEX(Plan!$C:$C,MATCH(F271,Plan!$A:$A,0)),"unknown ID"))</f>
        <v/>
      </c>
      <c r="H271" s="24">
        <f>IF(F271="","",IFERROR(INDEX(Plan!$D:$D,MATCH(F271,Plan!$A:$A,0)),""))</f>
        <v/>
      </c>
      <c r="I271" s="17" t="n"/>
      <c r="J271" s="17" t="n"/>
      <c r="K271" s="17" t="n"/>
      <c r="L271" s="17" t="n"/>
      <c r="M271" s="17" t="n"/>
      <c r="N271" s="17" t="n"/>
      <c r="O271" s="17" t="n"/>
    </row>
    <row r="272">
      <c r="A272" s="23" t="n"/>
      <c r="B272" s="17" t="n"/>
      <c r="C272" s="17" t="n"/>
      <c r="D272" s="17" t="n"/>
      <c r="E272" s="17" t="n"/>
      <c r="F272" s="17" t="n"/>
      <c r="G272" s="24">
        <f>IF(F272="","",IFERROR(INDEX(Plan!$C:$C,MATCH(F272,Plan!$A:$A,0)),"unknown ID"))</f>
        <v/>
      </c>
      <c r="H272" s="24">
        <f>IF(F272="","",IFERROR(INDEX(Plan!$D:$D,MATCH(F272,Plan!$A:$A,0)),""))</f>
        <v/>
      </c>
      <c r="I272" s="17" t="n"/>
      <c r="J272" s="17" t="n"/>
      <c r="K272" s="17" t="n"/>
      <c r="L272" s="17" t="n"/>
      <c r="M272" s="17" t="n"/>
      <c r="N272" s="17" t="n"/>
      <c r="O272" s="17" t="n"/>
    </row>
    <row r="273">
      <c r="A273" s="23" t="n"/>
      <c r="B273" s="17" t="n"/>
      <c r="C273" s="17" t="n"/>
      <c r="D273" s="17" t="n"/>
      <c r="E273" s="17" t="n"/>
      <c r="F273" s="17" t="n"/>
      <c r="G273" s="24">
        <f>IF(F273="","",IFERROR(INDEX(Plan!$C:$C,MATCH(F273,Plan!$A:$A,0)),"unknown ID"))</f>
        <v/>
      </c>
      <c r="H273" s="24">
        <f>IF(F273="","",IFERROR(INDEX(Plan!$D:$D,MATCH(F273,Plan!$A:$A,0)),""))</f>
        <v/>
      </c>
      <c r="I273" s="17" t="n"/>
      <c r="J273" s="17" t="n"/>
      <c r="K273" s="17" t="n"/>
      <c r="L273" s="17" t="n"/>
      <c r="M273" s="17" t="n"/>
      <c r="N273" s="17" t="n"/>
      <c r="O273" s="17" t="n"/>
    </row>
    <row r="274">
      <c r="A274" s="23" t="n"/>
      <c r="B274" s="17" t="n"/>
      <c r="C274" s="17" t="n"/>
      <c r="D274" s="17" t="n"/>
      <c r="E274" s="17" t="n"/>
      <c r="F274" s="17" t="n"/>
      <c r="G274" s="24">
        <f>IF(F274="","",IFERROR(INDEX(Plan!$C:$C,MATCH(F274,Plan!$A:$A,0)),"unknown ID"))</f>
        <v/>
      </c>
      <c r="H274" s="24">
        <f>IF(F274="","",IFERROR(INDEX(Plan!$D:$D,MATCH(F274,Plan!$A:$A,0)),""))</f>
        <v/>
      </c>
      <c r="I274" s="17" t="n"/>
      <c r="J274" s="17" t="n"/>
      <c r="K274" s="17" t="n"/>
      <c r="L274" s="17" t="n"/>
      <c r="M274" s="17" t="n"/>
      <c r="N274" s="17" t="n"/>
      <c r="O274" s="17" t="n"/>
    </row>
    <row r="275">
      <c r="A275" s="23" t="n"/>
      <c r="B275" s="17" t="n"/>
      <c r="C275" s="17" t="n"/>
      <c r="D275" s="17" t="n"/>
      <c r="E275" s="17" t="n"/>
      <c r="F275" s="17" t="n"/>
      <c r="G275" s="24">
        <f>IF(F275="","",IFERROR(INDEX(Plan!$C:$C,MATCH(F275,Plan!$A:$A,0)),"unknown ID"))</f>
        <v/>
      </c>
      <c r="H275" s="24">
        <f>IF(F275="","",IFERROR(INDEX(Plan!$D:$D,MATCH(F275,Plan!$A:$A,0)),""))</f>
        <v/>
      </c>
      <c r="I275" s="17" t="n"/>
      <c r="J275" s="17" t="n"/>
      <c r="K275" s="17" t="n"/>
      <c r="L275" s="17" t="n"/>
      <c r="M275" s="17" t="n"/>
      <c r="N275" s="17" t="n"/>
      <c r="O275" s="17" t="n"/>
    </row>
    <row r="276">
      <c r="A276" s="23" t="n"/>
      <c r="B276" s="17" t="n"/>
      <c r="C276" s="17" t="n"/>
      <c r="D276" s="17" t="n"/>
      <c r="E276" s="17" t="n"/>
      <c r="F276" s="17" t="n"/>
      <c r="G276" s="24">
        <f>IF(F276="","",IFERROR(INDEX(Plan!$C:$C,MATCH(F276,Plan!$A:$A,0)),"unknown ID"))</f>
        <v/>
      </c>
      <c r="H276" s="24">
        <f>IF(F276="","",IFERROR(INDEX(Plan!$D:$D,MATCH(F276,Plan!$A:$A,0)),""))</f>
        <v/>
      </c>
      <c r="I276" s="17" t="n"/>
      <c r="J276" s="17" t="n"/>
      <c r="K276" s="17" t="n"/>
      <c r="L276" s="17" t="n"/>
      <c r="M276" s="17" t="n"/>
      <c r="N276" s="17" t="n"/>
      <c r="O276" s="17" t="n"/>
    </row>
    <row r="277">
      <c r="A277" s="23" t="n"/>
      <c r="B277" s="17" t="n"/>
      <c r="C277" s="17" t="n"/>
      <c r="D277" s="17" t="n"/>
      <c r="E277" s="17" t="n"/>
      <c r="F277" s="17" t="n"/>
      <c r="G277" s="24">
        <f>IF(F277="","",IFERROR(INDEX(Plan!$C:$C,MATCH(F277,Plan!$A:$A,0)),"unknown ID"))</f>
        <v/>
      </c>
      <c r="H277" s="24">
        <f>IF(F277="","",IFERROR(INDEX(Plan!$D:$D,MATCH(F277,Plan!$A:$A,0)),""))</f>
        <v/>
      </c>
      <c r="I277" s="17" t="n"/>
      <c r="J277" s="17" t="n"/>
      <c r="K277" s="17" t="n"/>
      <c r="L277" s="17" t="n"/>
      <c r="M277" s="17" t="n"/>
      <c r="N277" s="17" t="n"/>
      <c r="O277" s="17" t="n"/>
    </row>
    <row r="278">
      <c r="A278" s="23" t="n"/>
      <c r="B278" s="17" t="n"/>
      <c r="C278" s="17" t="n"/>
      <c r="D278" s="17" t="n"/>
      <c r="E278" s="17" t="n"/>
      <c r="F278" s="17" t="n"/>
      <c r="G278" s="24">
        <f>IF(F278="","",IFERROR(INDEX(Plan!$C:$C,MATCH(F278,Plan!$A:$A,0)),"unknown ID"))</f>
        <v/>
      </c>
      <c r="H278" s="24">
        <f>IF(F278="","",IFERROR(INDEX(Plan!$D:$D,MATCH(F278,Plan!$A:$A,0)),""))</f>
        <v/>
      </c>
      <c r="I278" s="17" t="n"/>
      <c r="J278" s="17" t="n"/>
      <c r="K278" s="17" t="n"/>
      <c r="L278" s="17" t="n"/>
      <c r="M278" s="17" t="n"/>
      <c r="N278" s="17" t="n"/>
      <c r="O278" s="17" t="n"/>
    </row>
    <row r="279">
      <c r="A279" s="23" t="n"/>
      <c r="B279" s="17" t="n"/>
      <c r="C279" s="17" t="n"/>
      <c r="D279" s="17" t="n"/>
      <c r="E279" s="17" t="n"/>
      <c r="F279" s="17" t="n"/>
      <c r="G279" s="24">
        <f>IF(F279="","",IFERROR(INDEX(Plan!$C:$C,MATCH(F279,Plan!$A:$A,0)),"unknown ID"))</f>
        <v/>
      </c>
      <c r="H279" s="24">
        <f>IF(F279="","",IFERROR(INDEX(Plan!$D:$D,MATCH(F279,Plan!$A:$A,0)),""))</f>
        <v/>
      </c>
      <c r="I279" s="17" t="n"/>
      <c r="J279" s="17" t="n"/>
      <c r="K279" s="17" t="n"/>
      <c r="L279" s="17" t="n"/>
      <c r="M279" s="17" t="n"/>
      <c r="N279" s="17" t="n"/>
      <c r="O279" s="17" t="n"/>
    </row>
    <row r="280">
      <c r="A280" s="23" t="n"/>
      <c r="B280" s="17" t="n"/>
      <c r="C280" s="17" t="n"/>
      <c r="D280" s="17" t="n"/>
      <c r="E280" s="17" t="n"/>
      <c r="F280" s="17" t="n"/>
      <c r="G280" s="24">
        <f>IF(F280="","",IFERROR(INDEX(Plan!$C:$C,MATCH(F280,Plan!$A:$A,0)),"unknown ID"))</f>
        <v/>
      </c>
      <c r="H280" s="24">
        <f>IF(F280="","",IFERROR(INDEX(Plan!$D:$D,MATCH(F280,Plan!$A:$A,0)),""))</f>
        <v/>
      </c>
      <c r="I280" s="17" t="n"/>
      <c r="J280" s="17" t="n"/>
      <c r="K280" s="17" t="n"/>
      <c r="L280" s="17" t="n"/>
      <c r="M280" s="17" t="n"/>
      <c r="N280" s="17" t="n"/>
      <c r="O280" s="17" t="n"/>
    </row>
    <row r="281">
      <c r="A281" s="23" t="n"/>
      <c r="B281" s="17" t="n"/>
      <c r="C281" s="17" t="n"/>
      <c r="D281" s="17" t="n"/>
      <c r="E281" s="17" t="n"/>
      <c r="F281" s="17" t="n"/>
      <c r="G281" s="24">
        <f>IF(F281="","",IFERROR(INDEX(Plan!$C:$C,MATCH(F281,Plan!$A:$A,0)),"unknown ID"))</f>
        <v/>
      </c>
      <c r="H281" s="24">
        <f>IF(F281="","",IFERROR(INDEX(Plan!$D:$D,MATCH(F281,Plan!$A:$A,0)),""))</f>
        <v/>
      </c>
      <c r="I281" s="17" t="n"/>
      <c r="J281" s="17" t="n"/>
      <c r="K281" s="17" t="n"/>
      <c r="L281" s="17" t="n"/>
      <c r="M281" s="17" t="n"/>
      <c r="N281" s="17" t="n"/>
      <c r="O281" s="17" t="n"/>
    </row>
    <row r="282">
      <c r="A282" s="23" t="n"/>
      <c r="B282" s="17" t="n"/>
      <c r="C282" s="17" t="n"/>
      <c r="D282" s="17" t="n"/>
      <c r="E282" s="17" t="n"/>
      <c r="F282" s="17" t="n"/>
      <c r="G282" s="24">
        <f>IF(F282="","",IFERROR(INDEX(Plan!$C:$C,MATCH(F282,Plan!$A:$A,0)),"unknown ID"))</f>
        <v/>
      </c>
      <c r="H282" s="24">
        <f>IF(F282="","",IFERROR(INDEX(Plan!$D:$D,MATCH(F282,Plan!$A:$A,0)),""))</f>
        <v/>
      </c>
      <c r="I282" s="17" t="n"/>
      <c r="J282" s="17" t="n"/>
      <c r="K282" s="17" t="n"/>
      <c r="L282" s="17" t="n"/>
      <c r="M282" s="17" t="n"/>
      <c r="N282" s="17" t="n"/>
      <c r="O282" s="17" t="n"/>
    </row>
    <row r="283">
      <c r="A283" s="23" t="n"/>
      <c r="B283" s="17" t="n"/>
      <c r="C283" s="17" t="n"/>
      <c r="D283" s="17" t="n"/>
      <c r="E283" s="17" t="n"/>
      <c r="F283" s="17" t="n"/>
      <c r="G283" s="24">
        <f>IF(F283="","",IFERROR(INDEX(Plan!$C:$C,MATCH(F283,Plan!$A:$A,0)),"unknown ID"))</f>
        <v/>
      </c>
      <c r="H283" s="24">
        <f>IF(F283="","",IFERROR(INDEX(Plan!$D:$D,MATCH(F283,Plan!$A:$A,0)),""))</f>
        <v/>
      </c>
      <c r="I283" s="17" t="n"/>
      <c r="J283" s="17" t="n"/>
      <c r="K283" s="17" t="n"/>
      <c r="L283" s="17" t="n"/>
      <c r="M283" s="17" t="n"/>
      <c r="N283" s="17" t="n"/>
      <c r="O283" s="17" t="n"/>
    </row>
    <row r="284">
      <c r="A284" s="23" t="n"/>
      <c r="B284" s="17" t="n"/>
      <c r="C284" s="17" t="n"/>
      <c r="D284" s="17" t="n"/>
      <c r="E284" s="17" t="n"/>
      <c r="F284" s="17" t="n"/>
      <c r="G284" s="24">
        <f>IF(F284="","",IFERROR(INDEX(Plan!$C:$C,MATCH(F284,Plan!$A:$A,0)),"unknown ID"))</f>
        <v/>
      </c>
      <c r="H284" s="24">
        <f>IF(F284="","",IFERROR(INDEX(Plan!$D:$D,MATCH(F284,Plan!$A:$A,0)),""))</f>
        <v/>
      </c>
      <c r="I284" s="17" t="n"/>
      <c r="J284" s="17" t="n"/>
      <c r="K284" s="17" t="n"/>
      <c r="L284" s="17" t="n"/>
      <c r="M284" s="17" t="n"/>
      <c r="N284" s="17" t="n"/>
      <c r="O284" s="17" t="n"/>
    </row>
    <row r="285">
      <c r="A285" s="23" t="n"/>
      <c r="B285" s="17" t="n"/>
      <c r="C285" s="17" t="n"/>
      <c r="D285" s="17" t="n"/>
      <c r="E285" s="17" t="n"/>
      <c r="F285" s="17" t="n"/>
      <c r="G285" s="24">
        <f>IF(F285="","",IFERROR(INDEX(Plan!$C:$C,MATCH(F285,Plan!$A:$A,0)),"unknown ID"))</f>
        <v/>
      </c>
      <c r="H285" s="24">
        <f>IF(F285="","",IFERROR(INDEX(Plan!$D:$D,MATCH(F285,Plan!$A:$A,0)),""))</f>
        <v/>
      </c>
      <c r="I285" s="17" t="n"/>
      <c r="J285" s="17" t="n"/>
      <c r="K285" s="17" t="n"/>
      <c r="L285" s="17" t="n"/>
      <c r="M285" s="17" t="n"/>
      <c r="N285" s="17" t="n"/>
      <c r="O285" s="17" t="n"/>
    </row>
    <row r="286">
      <c r="A286" s="23" t="n"/>
      <c r="B286" s="17" t="n"/>
      <c r="C286" s="17" t="n"/>
      <c r="D286" s="17" t="n"/>
      <c r="E286" s="17" t="n"/>
      <c r="F286" s="17" t="n"/>
      <c r="G286" s="24">
        <f>IF(F286="","",IFERROR(INDEX(Plan!$C:$C,MATCH(F286,Plan!$A:$A,0)),"unknown ID"))</f>
        <v/>
      </c>
      <c r="H286" s="24">
        <f>IF(F286="","",IFERROR(INDEX(Plan!$D:$D,MATCH(F286,Plan!$A:$A,0)),""))</f>
        <v/>
      </c>
      <c r="I286" s="17" t="n"/>
      <c r="J286" s="17" t="n"/>
      <c r="K286" s="17" t="n"/>
      <c r="L286" s="17" t="n"/>
      <c r="M286" s="17" t="n"/>
      <c r="N286" s="17" t="n"/>
      <c r="O286" s="17" t="n"/>
    </row>
    <row r="287">
      <c r="A287" s="23" t="n"/>
      <c r="B287" s="17" t="n"/>
      <c r="C287" s="17" t="n"/>
      <c r="D287" s="17" t="n"/>
      <c r="E287" s="17" t="n"/>
      <c r="F287" s="17" t="n"/>
      <c r="G287" s="24">
        <f>IF(F287="","",IFERROR(INDEX(Plan!$C:$C,MATCH(F287,Plan!$A:$A,0)),"unknown ID"))</f>
        <v/>
      </c>
      <c r="H287" s="24">
        <f>IF(F287="","",IFERROR(INDEX(Plan!$D:$D,MATCH(F287,Plan!$A:$A,0)),""))</f>
        <v/>
      </c>
      <c r="I287" s="17" t="n"/>
      <c r="J287" s="17" t="n"/>
      <c r="K287" s="17" t="n"/>
      <c r="L287" s="17" t="n"/>
      <c r="M287" s="17" t="n"/>
      <c r="N287" s="17" t="n"/>
      <c r="O287" s="17" t="n"/>
    </row>
    <row r="288">
      <c r="A288" s="23" t="n"/>
      <c r="B288" s="17" t="n"/>
      <c r="C288" s="17" t="n"/>
      <c r="D288" s="17" t="n"/>
      <c r="E288" s="17" t="n"/>
      <c r="F288" s="17" t="n"/>
      <c r="G288" s="24">
        <f>IF(F288="","",IFERROR(INDEX(Plan!$C:$C,MATCH(F288,Plan!$A:$A,0)),"unknown ID"))</f>
        <v/>
      </c>
      <c r="H288" s="24">
        <f>IF(F288="","",IFERROR(INDEX(Plan!$D:$D,MATCH(F288,Plan!$A:$A,0)),""))</f>
        <v/>
      </c>
      <c r="I288" s="17" t="n"/>
      <c r="J288" s="17" t="n"/>
      <c r="K288" s="17" t="n"/>
      <c r="L288" s="17" t="n"/>
      <c r="M288" s="17" t="n"/>
      <c r="N288" s="17" t="n"/>
      <c r="O288" s="17" t="n"/>
    </row>
    <row r="289">
      <c r="A289" s="23" t="n"/>
      <c r="B289" s="17" t="n"/>
      <c r="C289" s="17" t="n"/>
      <c r="D289" s="17" t="n"/>
      <c r="E289" s="17" t="n"/>
      <c r="F289" s="17" t="n"/>
      <c r="G289" s="24">
        <f>IF(F289="","",IFERROR(INDEX(Plan!$C:$C,MATCH(F289,Plan!$A:$A,0)),"unknown ID"))</f>
        <v/>
      </c>
      <c r="H289" s="24">
        <f>IF(F289="","",IFERROR(INDEX(Plan!$D:$D,MATCH(F289,Plan!$A:$A,0)),""))</f>
        <v/>
      </c>
      <c r="I289" s="17" t="n"/>
      <c r="J289" s="17" t="n"/>
      <c r="K289" s="17" t="n"/>
      <c r="L289" s="17" t="n"/>
      <c r="M289" s="17" t="n"/>
      <c r="N289" s="17" t="n"/>
      <c r="O289" s="17" t="n"/>
    </row>
    <row r="290">
      <c r="A290" s="23" t="n"/>
      <c r="B290" s="17" t="n"/>
      <c r="C290" s="17" t="n"/>
      <c r="D290" s="17" t="n"/>
      <c r="E290" s="17" t="n"/>
      <c r="F290" s="17" t="n"/>
      <c r="G290" s="24">
        <f>IF(F290="","",IFERROR(INDEX(Plan!$C:$C,MATCH(F290,Plan!$A:$A,0)),"unknown ID"))</f>
        <v/>
      </c>
      <c r="H290" s="24">
        <f>IF(F290="","",IFERROR(INDEX(Plan!$D:$D,MATCH(F290,Plan!$A:$A,0)),""))</f>
        <v/>
      </c>
      <c r="I290" s="17" t="n"/>
      <c r="J290" s="17" t="n"/>
      <c r="K290" s="17" t="n"/>
      <c r="L290" s="17" t="n"/>
      <c r="M290" s="17" t="n"/>
      <c r="N290" s="17" t="n"/>
      <c r="O290" s="17" t="n"/>
    </row>
    <row r="291">
      <c r="A291" s="23" t="n"/>
      <c r="B291" s="17" t="n"/>
      <c r="C291" s="17" t="n"/>
      <c r="D291" s="17" t="n"/>
      <c r="E291" s="17" t="n"/>
      <c r="F291" s="17" t="n"/>
      <c r="G291" s="24">
        <f>IF(F291="","",IFERROR(INDEX(Plan!$C:$C,MATCH(F291,Plan!$A:$A,0)),"unknown ID"))</f>
        <v/>
      </c>
      <c r="H291" s="24">
        <f>IF(F291="","",IFERROR(INDEX(Plan!$D:$D,MATCH(F291,Plan!$A:$A,0)),""))</f>
        <v/>
      </c>
      <c r="I291" s="17" t="n"/>
      <c r="J291" s="17" t="n"/>
      <c r="K291" s="17" t="n"/>
      <c r="L291" s="17" t="n"/>
      <c r="M291" s="17" t="n"/>
      <c r="N291" s="17" t="n"/>
      <c r="O291" s="17" t="n"/>
    </row>
    <row r="292">
      <c r="A292" s="23" t="n"/>
      <c r="B292" s="17" t="n"/>
      <c r="C292" s="17" t="n"/>
      <c r="D292" s="17" t="n"/>
      <c r="E292" s="17" t="n"/>
      <c r="F292" s="17" t="n"/>
      <c r="G292" s="24">
        <f>IF(F292="","",IFERROR(INDEX(Plan!$C:$C,MATCH(F292,Plan!$A:$A,0)),"unknown ID"))</f>
        <v/>
      </c>
      <c r="H292" s="24">
        <f>IF(F292="","",IFERROR(INDEX(Plan!$D:$D,MATCH(F292,Plan!$A:$A,0)),""))</f>
        <v/>
      </c>
      <c r="I292" s="17" t="n"/>
      <c r="J292" s="17" t="n"/>
      <c r="K292" s="17" t="n"/>
      <c r="L292" s="17" t="n"/>
      <c r="M292" s="17" t="n"/>
      <c r="N292" s="17" t="n"/>
      <c r="O292" s="17" t="n"/>
    </row>
    <row r="293">
      <c r="A293" s="23" t="n"/>
      <c r="B293" s="17" t="n"/>
      <c r="C293" s="17" t="n"/>
      <c r="D293" s="17" t="n"/>
      <c r="E293" s="17" t="n"/>
      <c r="F293" s="17" t="n"/>
      <c r="G293" s="24">
        <f>IF(F293="","",IFERROR(INDEX(Plan!$C:$C,MATCH(F293,Plan!$A:$A,0)),"unknown ID"))</f>
        <v/>
      </c>
      <c r="H293" s="24">
        <f>IF(F293="","",IFERROR(INDEX(Plan!$D:$D,MATCH(F293,Plan!$A:$A,0)),""))</f>
        <v/>
      </c>
      <c r="I293" s="17" t="n"/>
      <c r="J293" s="17" t="n"/>
      <c r="K293" s="17" t="n"/>
      <c r="L293" s="17" t="n"/>
      <c r="M293" s="17" t="n"/>
      <c r="N293" s="17" t="n"/>
      <c r="O293" s="17" t="n"/>
    </row>
    <row r="294">
      <c r="A294" s="23" t="n"/>
      <c r="B294" s="17" t="n"/>
      <c r="C294" s="17" t="n"/>
      <c r="D294" s="17" t="n"/>
      <c r="E294" s="17" t="n"/>
      <c r="F294" s="17" t="n"/>
      <c r="G294" s="24">
        <f>IF(F294="","",IFERROR(INDEX(Plan!$C:$C,MATCH(F294,Plan!$A:$A,0)),"unknown ID"))</f>
        <v/>
      </c>
      <c r="H294" s="24">
        <f>IF(F294="","",IFERROR(INDEX(Plan!$D:$D,MATCH(F294,Plan!$A:$A,0)),""))</f>
        <v/>
      </c>
      <c r="I294" s="17" t="n"/>
      <c r="J294" s="17" t="n"/>
      <c r="K294" s="17" t="n"/>
      <c r="L294" s="17" t="n"/>
      <c r="M294" s="17" t="n"/>
      <c r="N294" s="17" t="n"/>
      <c r="O294" s="17" t="n"/>
    </row>
    <row r="295">
      <c r="A295" s="23" t="n"/>
      <c r="B295" s="17" t="n"/>
      <c r="C295" s="17" t="n"/>
      <c r="D295" s="17" t="n"/>
      <c r="E295" s="17" t="n"/>
      <c r="F295" s="17" t="n"/>
      <c r="G295" s="24">
        <f>IF(F295="","",IFERROR(INDEX(Plan!$C:$C,MATCH(F295,Plan!$A:$A,0)),"unknown ID"))</f>
        <v/>
      </c>
      <c r="H295" s="24">
        <f>IF(F295="","",IFERROR(INDEX(Plan!$D:$D,MATCH(F295,Plan!$A:$A,0)),""))</f>
        <v/>
      </c>
      <c r="I295" s="17" t="n"/>
      <c r="J295" s="17" t="n"/>
      <c r="K295" s="17" t="n"/>
      <c r="L295" s="17" t="n"/>
      <c r="M295" s="17" t="n"/>
      <c r="N295" s="17" t="n"/>
      <c r="O295" s="17" t="n"/>
    </row>
    <row r="296">
      <c r="A296" s="23" t="n"/>
      <c r="B296" s="17" t="n"/>
      <c r="C296" s="17" t="n"/>
      <c r="D296" s="17" t="n"/>
      <c r="E296" s="17" t="n"/>
      <c r="F296" s="17" t="n"/>
      <c r="G296" s="24">
        <f>IF(F296="","",IFERROR(INDEX(Plan!$C:$C,MATCH(F296,Plan!$A:$A,0)),"unknown ID"))</f>
        <v/>
      </c>
      <c r="H296" s="24">
        <f>IF(F296="","",IFERROR(INDEX(Plan!$D:$D,MATCH(F296,Plan!$A:$A,0)),""))</f>
        <v/>
      </c>
      <c r="I296" s="17" t="n"/>
      <c r="J296" s="17" t="n"/>
      <c r="K296" s="17" t="n"/>
      <c r="L296" s="17" t="n"/>
      <c r="M296" s="17" t="n"/>
      <c r="N296" s="17" t="n"/>
      <c r="O296" s="17" t="n"/>
    </row>
    <row r="297">
      <c r="A297" s="23" t="n"/>
      <c r="B297" s="17" t="n"/>
      <c r="C297" s="17" t="n"/>
      <c r="D297" s="17" t="n"/>
      <c r="E297" s="17" t="n"/>
      <c r="F297" s="17" t="n"/>
      <c r="G297" s="24">
        <f>IF(F297="","",IFERROR(INDEX(Plan!$C:$C,MATCH(F297,Plan!$A:$A,0)),"unknown ID"))</f>
        <v/>
      </c>
      <c r="H297" s="24">
        <f>IF(F297="","",IFERROR(INDEX(Plan!$D:$D,MATCH(F297,Plan!$A:$A,0)),""))</f>
        <v/>
      </c>
      <c r="I297" s="17" t="n"/>
      <c r="J297" s="17" t="n"/>
      <c r="K297" s="17" t="n"/>
      <c r="L297" s="17" t="n"/>
      <c r="M297" s="17" t="n"/>
      <c r="N297" s="17" t="n"/>
      <c r="O297" s="17" t="n"/>
    </row>
    <row r="298">
      <c r="A298" s="23" t="n"/>
      <c r="B298" s="17" t="n"/>
      <c r="C298" s="17" t="n"/>
      <c r="D298" s="17" t="n"/>
      <c r="E298" s="17" t="n"/>
      <c r="F298" s="17" t="n"/>
      <c r="G298" s="24">
        <f>IF(F298="","",IFERROR(INDEX(Plan!$C:$C,MATCH(F298,Plan!$A:$A,0)),"unknown ID"))</f>
        <v/>
      </c>
      <c r="H298" s="24">
        <f>IF(F298="","",IFERROR(INDEX(Plan!$D:$D,MATCH(F298,Plan!$A:$A,0)),""))</f>
        <v/>
      </c>
      <c r="I298" s="17" t="n"/>
      <c r="J298" s="17" t="n"/>
      <c r="K298" s="17" t="n"/>
      <c r="L298" s="17" t="n"/>
      <c r="M298" s="17" t="n"/>
      <c r="N298" s="17" t="n"/>
      <c r="O298" s="17" t="n"/>
    </row>
    <row r="299">
      <c r="A299" s="23" t="n"/>
      <c r="B299" s="17" t="n"/>
      <c r="C299" s="17" t="n"/>
      <c r="D299" s="17" t="n"/>
      <c r="E299" s="17" t="n"/>
      <c r="F299" s="17" t="n"/>
      <c r="G299" s="24">
        <f>IF(F299="","",IFERROR(INDEX(Plan!$C:$C,MATCH(F299,Plan!$A:$A,0)),"unknown ID"))</f>
        <v/>
      </c>
      <c r="H299" s="24">
        <f>IF(F299="","",IFERROR(INDEX(Plan!$D:$D,MATCH(F299,Plan!$A:$A,0)),""))</f>
        <v/>
      </c>
      <c r="I299" s="17" t="n"/>
      <c r="J299" s="17" t="n"/>
      <c r="K299" s="17" t="n"/>
      <c r="L299" s="17" t="n"/>
      <c r="M299" s="17" t="n"/>
      <c r="N299" s="17" t="n"/>
      <c r="O299" s="17" t="n"/>
    </row>
    <row r="300">
      <c r="A300" s="23" t="n"/>
      <c r="B300" s="17" t="n"/>
      <c r="C300" s="17" t="n"/>
      <c r="D300" s="17" t="n"/>
      <c r="E300" s="17" t="n"/>
      <c r="F300" s="17" t="n"/>
      <c r="G300" s="24">
        <f>IF(F300="","",IFERROR(INDEX(Plan!$C:$C,MATCH(F300,Plan!$A:$A,0)),"unknown ID"))</f>
        <v/>
      </c>
      <c r="H300" s="24">
        <f>IF(F300="","",IFERROR(INDEX(Plan!$D:$D,MATCH(F300,Plan!$A:$A,0)),""))</f>
        <v/>
      </c>
      <c r="I300" s="17" t="n"/>
      <c r="J300" s="17" t="n"/>
      <c r="K300" s="17" t="n"/>
      <c r="L300" s="17" t="n"/>
      <c r="M300" s="17" t="n"/>
      <c r="N300" s="17" t="n"/>
      <c r="O300" s="17" t="n"/>
    </row>
    <row r="301">
      <c r="A301" s="23" t="n"/>
      <c r="B301" s="17" t="n"/>
      <c r="C301" s="17" t="n"/>
      <c r="D301" s="17" t="n"/>
      <c r="E301" s="17" t="n"/>
      <c r="F301" s="17" t="n"/>
      <c r="G301" s="24">
        <f>IF(F301="","",IFERROR(INDEX(Plan!$C:$C,MATCH(F301,Plan!$A:$A,0)),"unknown ID"))</f>
        <v/>
      </c>
      <c r="H301" s="24">
        <f>IF(F301="","",IFERROR(INDEX(Plan!$D:$D,MATCH(F301,Plan!$A:$A,0)),""))</f>
        <v/>
      </c>
      <c r="I301" s="17" t="n"/>
      <c r="J301" s="17" t="n"/>
      <c r="K301" s="17" t="n"/>
      <c r="L301" s="17" t="n"/>
      <c r="M301" s="17" t="n"/>
      <c r="N301" s="17" t="n"/>
      <c r="O301" s="17" t="n"/>
    </row>
    <row r="302">
      <c r="A302" s="23" t="n"/>
      <c r="B302" s="17" t="n"/>
      <c r="C302" s="17" t="n"/>
      <c r="D302" s="17" t="n"/>
      <c r="E302" s="17" t="n"/>
      <c r="F302" s="17" t="n"/>
      <c r="G302" s="24">
        <f>IF(F302="","",IFERROR(INDEX(Plan!$C:$C,MATCH(F302,Plan!$A:$A,0)),"unknown ID"))</f>
        <v/>
      </c>
      <c r="H302" s="24">
        <f>IF(F302="","",IFERROR(INDEX(Plan!$D:$D,MATCH(F302,Plan!$A:$A,0)),""))</f>
        <v/>
      </c>
      <c r="I302" s="17" t="n"/>
      <c r="J302" s="17" t="n"/>
      <c r="K302" s="17" t="n"/>
      <c r="L302" s="17" t="n"/>
      <c r="M302" s="17" t="n"/>
      <c r="N302" s="17" t="n"/>
      <c r="O302" s="17" t="n"/>
    </row>
    <row r="303">
      <c r="A303" s="23" t="n"/>
      <c r="B303" s="17" t="n"/>
      <c r="C303" s="17" t="n"/>
      <c r="D303" s="17" t="n"/>
      <c r="E303" s="17" t="n"/>
      <c r="F303" s="17" t="n"/>
      <c r="G303" s="24">
        <f>IF(F303="","",IFERROR(INDEX(Plan!$C:$C,MATCH(F303,Plan!$A:$A,0)),"unknown ID"))</f>
        <v/>
      </c>
      <c r="H303" s="24">
        <f>IF(F303="","",IFERROR(INDEX(Plan!$D:$D,MATCH(F303,Plan!$A:$A,0)),""))</f>
        <v/>
      </c>
      <c r="I303" s="17" t="n"/>
      <c r="J303" s="17" t="n"/>
      <c r="K303" s="17" t="n"/>
      <c r="L303" s="17" t="n"/>
      <c r="M303" s="17" t="n"/>
      <c r="N303" s="17" t="n"/>
      <c r="O303" s="17" t="n"/>
    </row>
    <row r="304">
      <c r="A304" s="23" t="n"/>
      <c r="B304" s="17" t="n"/>
      <c r="C304" s="17" t="n"/>
      <c r="D304" s="17" t="n"/>
      <c r="E304" s="17" t="n"/>
      <c r="F304" s="17" t="n"/>
      <c r="G304" s="24">
        <f>IF(F304="","",IFERROR(INDEX(Plan!$C:$C,MATCH(F304,Plan!$A:$A,0)),"unknown ID"))</f>
        <v/>
      </c>
      <c r="H304" s="24">
        <f>IF(F304="","",IFERROR(INDEX(Plan!$D:$D,MATCH(F304,Plan!$A:$A,0)),""))</f>
        <v/>
      </c>
      <c r="I304" s="17" t="n"/>
      <c r="J304" s="17" t="n"/>
      <c r="K304" s="17" t="n"/>
      <c r="L304" s="17" t="n"/>
      <c r="M304" s="17" t="n"/>
      <c r="N304" s="17" t="n"/>
      <c r="O304" s="17" t="n"/>
    </row>
    <row r="305">
      <c r="A305" s="23" t="n"/>
      <c r="B305" s="17" t="n"/>
      <c r="C305" s="17" t="n"/>
      <c r="D305" s="17" t="n"/>
      <c r="E305" s="17" t="n"/>
      <c r="F305" s="17" t="n"/>
      <c r="G305" s="24">
        <f>IF(F305="","",IFERROR(INDEX(Plan!$C:$C,MATCH(F305,Plan!$A:$A,0)),"unknown ID"))</f>
        <v/>
      </c>
      <c r="H305" s="24">
        <f>IF(F305="","",IFERROR(INDEX(Plan!$D:$D,MATCH(F305,Plan!$A:$A,0)),""))</f>
        <v/>
      </c>
      <c r="I305" s="17" t="n"/>
      <c r="J305" s="17" t="n"/>
      <c r="K305" s="17" t="n"/>
      <c r="L305" s="17" t="n"/>
      <c r="M305" s="17" t="n"/>
      <c r="N305" s="17" t="n"/>
      <c r="O305" s="17" t="n"/>
    </row>
    <row r="306">
      <c r="A306" s="23" t="n"/>
      <c r="B306" s="17" t="n"/>
      <c r="C306" s="17" t="n"/>
      <c r="D306" s="17" t="n"/>
      <c r="E306" s="17" t="n"/>
      <c r="F306" s="17" t="n"/>
      <c r="G306" s="24">
        <f>IF(F306="","",IFERROR(INDEX(Plan!$C:$C,MATCH(F306,Plan!$A:$A,0)),"unknown ID"))</f>
        <v/>
      </c>
      <c r="H306" s="24">
        <f>IF(F306="","",IFERROR(INDEX(Plan!$D:$D,MATCH(F306,Plan!$A:$A,0)),""))</f>
        <v/>
      </c>
      <c r="I306" s="17" t="n"/>
      <c r="J306" s="17" t="n"/>
      <c r="K306" s="17" t="n"/>
      <c r="L306" s="17" t="n"/>
      <c r="M306" s="17" t="n"/>
      <c r="N306" s="17" t="n"/>
      <c r="O306" s="17" t="n"/>
    </row>
    <row r="307">
      <c r="A307" s="23" t="n"/>
      <c r="B307" s="17" t="n"/>
      <c r="C307" s="17" t="n"/>
      <c r="D307" s="17" t="n"/>
      <c r="E307" s="17" t="n"/>
      <c r="F307" s="17" t="n"/>
      <c r="G307" s="24">
        <f>IF(F307="","",IFERROR(INDEX(Plan!$C:$C,MATCH(F307,Plan!$A:$A,0)),"unknown ID"))</f>
        <v/>
      </c>
      <c r="H307" s="24">
        <f>IF(F307="","",IFERROR(INDEX(Plan!$D:$D,MATCH(F307,Plan!$A:$A,0)),""))</f>
        <v/>
      </c>
      <c r="I307" s="17" t="n"/>
      <c r="J307" s="17" t="n"/>
      <c r="K307" s="17" t="n"/>
      <c r="L307" s="17" t="n"/>
      <c r="M307" s="17" t="n"/>
      <c r="N307" s="17" t="n"/>
      <c r="O307" s="17" t="n"/>
    </row>
    <row r="308">
      <c r="A308" s="23" t="n"/>
      <c r="B308" s="17" t="n"/>
      <c r="C308" s="17" t="n"/>
      <c r="D308" s="17" t="n"/>
      <c r="E308" s="17" t="n"/>
      <c r="F308" s="17" t="n"/>
      <c r="G308" s="24">
        <f>IF(F308="","",IFERROR(INDEX(Plan!$C:$C,MATCH(F308,Plan!$A:$A,0)),"unknown ID"))</f>
        <v/>
      </c>
      <c r="H308" s="24">
        <f>IF(F308="","",IFERROR(INDEX(Plan!$D:$D,MATCH(F308,Plan!$A:$A,0)),""))</f>
        <v/>
      </c>
      <c r="I308" s="17" t="n"/>
      <c r="J308" s="17" t="n"/>
      <c r="K308" s="17" t="n"/>
      <c r="L308" s="17" t="n"/>
      <c r="M308" s="17" t="n"/>
      <c r="N308" s="17" t="n"/>
      <c r="O308" s="17" t="n"/>
    </row>
    <row r="309">
      <c r="A309" s="23" t="n"/>
      <c r="B309" s="17" t="n"/>
      <c r="C309" s="17" t="n"/>
      <c r="D309" s="17" t="n"/>
      <c r="E309" s="17" t="n"/>
      <c r="F309" s="17" t="n"/>
      <c r="G309" s="24">
        <f>IF(F309="","",IFERROR(INDEX(Plan!$C:$C,MATCH(F309,Plan!$A:$A,0)),"unknown ID"))</f>
        <v/>
      </c>
      <c r="H309" s="24">
        <f>IF(F309="","",IFERROR(INDEX(Plan!$D:$D,MATCH(F309,Plan!$A:$A,0)),""))</f>
        <v/>
      </c>
      <c r="I309" s="17" t="n"/>
      <c r="J309" s="17" t="n"/>
      <c r="K309" s="17" t="n"/>
      <c r="L309" s="17" t="n"/>
      <c r="M309" s="17" t="n"/>
      <c r="N309" s="17" t="n"/>
      <c r="O309" s="17" t="n"/>
    </row>
    <row r="310">
      <c r="A310" s="23" t="n"/>
      <c r="B310" s="17" t="n"/>
      <c r="C310" s="17" t="n"/>
      <c r="D310" s="17" t="n"/>
      <c r="E310" s="17" t="n"/>
      <c r="F310" s="17" t="n"/>
      <c r="G310" s="24">
        <f>IF(F310="","",IFERROR(INDEX(Plan!$C:$C,MATCH(F310,Plan!$A:$A,0)),"unknown ID"))</f>
        <v/>
      </c>
      <c r="H310" s="24">
        <f>IF(F310="","",IFERROR(INDEX(Plan!$D:$D,MATCH(F310,Plan!$A:$A,0)),""))</f>
        <v/>
      </c>
      <c r="I310" s="17" t="n"/>
      <c r="J310" s="17" t="n"/>
      <c r="K310" s="17" t="n"/>
      <c r="L310" s="17" t="n"/>
      <c r="M310" s="17" t="n"/>
      <c r="N310" s="17" t="n"/>
      <c r="O310" s="17" t="n"/>
    </row>
    <row r="311">
      <c r="A311" s="23" t="n"/>
      <c r="B311" s="17" t="n"/>
      <c r="C311" s="17" t="n"/>
      <c r="D311" s="17" t="n"/>
      <c r="E311" s="17" t="n"/>
      <c r="F311" s="17" t="n"/>
      <c r="G311" s="24">
        <f>IF(F311="","",IFERROR(INDEX(Plan!$C:$C,MATCH(F311,Plan!$A:$A,0)),"unknown ID"))</f>
        <v/>
      </c>
      <c r="H311" s="24">
        <f>IF(F311="","",IFERROR(INDEX(Plan!$D:$D,MATCH(F311,Plan!$A:$A,0)),""))</f>
        <v/>
      </c>
      <c r="I311" s="17" t="n"/>
      <c r="J311" s="17" t="n"/>
      <c r="K311" s="17" t="n"/>
      <c r="L311" s="17" t="n"/>
      <c r="M311" s="17" t="n"/>
      <c r="N311" s="17" t="n"/>
      <c r="O311" s="17" t="n"/>
    </row>
    <row r="312">
      <c r="A312" s="23" t="n"/>
      <c r="B312" s="17" t="n"/>
      <c r="C312" s="17" t="n"/>
      <c r="D312" s="17" t="n"/>
      <c r="E312" s="17" t="n"/>
      <c r="F312" s="17" t="n"/>
      <c r="G312" s="24">
        <f>IF(F312="","",IFERROR(INDEX(Plan!$C:$C,MATCH(F312,Plan!$A:$A,0)),"unknown ID"))</f>
        <v/>
      </c>
      <c r="H312" s="24">
        <f>IF(F312="","",IFERROR(INDEX(Plan!$D:$D,MATCH(F312,Plan!$A:$A,0)),""))</f>
        <v/>
      </c>
      <c r="I312" s="17" t="n"/>
      <c r="J312" s="17" t="n"/>
      <c r="K312" s="17" t="n"/>
      <c r="L312" s="17" t="n"/>
      <c r="M312" s="17" t="n"/>
      <c r="N312" s="17" t="n"/>
      <c r="O312" s="17" t="n"/>
    </row>
    <row r="313">
      <c r="A313" s="23" t="n"/>
      <c r="B313" s="17" t="n"/>
      <c r="C313" s="17" t="n"/>
      <c r="D313" s="17" t="n"/>
      <c r="E313" s="17" t="n"/>
      <c r="F313" s="17" t="n"/>
      <c r="G313" s="24">
        <f>IF(F313="","",IFERROR(INDEX(Plan!$C:$C,MATCH(F313,Plan!$A:$A,0)),"unknown ID"))</f>
        <v/>
      </c>
      <c r="H313" s="24">
        <f>IF(F313="","",IFERROR(INDEX(Plan!$D:$D,MATCH(F313,Plan!$A:$A,0)),""))</f>
        <v/>
      </c>
      <c r="I313" s="17" t="n"/>
      <c r="J313" s="17" t="n"/>
      <c r="K313" s="17" t="n"/>
      <c r="L313" s="17" t="n"/>
      <c r="M313" s="17" t="n"/>
      <c r="N313" s="17" t="n"/>
      <c r="O313" s="17" t="n"/>
    </row>
    <row r="314">
      <c r="A314" s="23" t="n"/>
      <c r="B314" s="17" t="n"/>
      <c r="C314" s="17" t="n"/>
      <c r="D314" s="17" t="n"/>
      <c r="E314" s="17" t="n"/>
      <c r="F314" s="17" t="n"/>
      <c r="G314" s="24">
        <f>IF(F314="","",IFERROR(INDEX(Plan!$C:$C,MATCH(F314,Plan!$A:$A,0)),"unknown ID"))</f>
        <v/>
      </c>
      <c r="H314" s="24">
        <f>IF(F314="","",IFERROR(INDEX(Plan!$D:$D,MATCH(F314,Plan!$A:$A,0)),""))</f>
        <v/>
      </c>
      <c r="I314" s="17" t="n"/>
      <c r="J314" s="17" t="n"/>
      <c r="K314" s="17" t="n"/>
      <c r="L314" s="17" t="n"/>
      <c r="M314" s="17" t="n"/>
      <c r="N314" s="17" t="n"/>
      <c r="O314" s="17" t="n"/>
    </row>
    <row r="315">
      <c r="A315" s="23" t="n"/>
      <c r="B315" s="17" t="n"/>
      <c r="C315" s="17" t="n"/>
      <c r="D315" s="17" t="n"/>
      <c r="E315" s="17" t="n"/>
      <c r="F315" s="17" t="n"/>
      <c r="G315" s="24">
        <f>IF(F315="","",IFERROR(INDEX(Plan!$C:$C,MATCH(F315,Plan!$A:$A,0)),"unknown ID"))</f>
        <v/>
      </c>
      <c r="H315" s="24">
        <f>IF(F315="","",IFERROR(INDEX(Plan!$D:$D,MATCH(F315,Plan!$A:$A,0)),""))</f>
        <v/>
      </c>
      <c r="I315" s="17" t="n"/>
      <c r="J315" s="17" t="n"/>
      <c r="K315" s="17" t="n"/>
      <c r="L315" s="17" t="n"/>
      <c r="M315" s="17" t="n"/>
      <c r="N315" s="17" t="n"/>
      <c r="O315" s="17" t="n"/>
    </row>
    <row r="316">
      <c r="A316" s="23" t="n"/>
      <c r="B316" s="17" t="n"/>
      <c r="C316" s="17" t="n"/>
      <c r="D316" s="17" t="n"/>
      <c r="E316" s="17" t="n"/>
      <c r="F316" s="17" t="n"/>
      <c r="G316" s="24">
        <f>IF(F316="","",IFERROR(INDEX(Plan!$C:$C,MATCH(F316,Plan!$A:$A,0)),"unknown ID"))</f>
        <v/>
      </c>
      <c r="H316" s="24">
        <f>IF(F316="","",IFERROR(INDEX(Plan!$D:$D,MATCH(F316,Plan!$A:$A,0)),""))</f>
        <v/>
      </c>
      <c r="I316" s="17" t="n"/>
      <c r="J316" s="17" t="n"/>
      <c r="K316" s="17" t="n"/>
      <c r="L316" s="17" t="n"/>
      <c r="M316" s="17" t="n"/>
      <c r="N316" s="17" t="n"/>
      <c r="O316" s="17" t="n"/>
    </row>
    <row r="317">
      <c r="A317" s="23" t="n"/>
      <c r="B317" s="17" t="n"/>
      <c r="C317" s="17" t="n"/>
      <c r="D317" s="17" t="n"/>
      <c r="E317" s="17" t="n"/>
      <c r="F317" s="17" t="n"/>
      <c r="G317" s="24">
        <f>IF(F317="","",IFERROR(INDEX(Plan!$C:$C,MATCH(F317,Plan!$A:$A,0)),"unknown ID"))</f>
        <v/>
      </c>
      <c r="H317" s="24">
        <f>IF(F317="","",IFERROR(INDEX(Plan!$D:$D,MATCH(F317,Plan!$A:$A,0)),""))</f>
        <v/>
      </c>
      <c r="I317" s="17" t="n"/>
      <c r="J317" s="17" t="n"/>
      <c r="K317" s="17" t="n"/>
      <c r="L317" s="17" t="n"/>
      <c r="M317" s="17" t="n"/>
      <c r="N317" s="17" t="n"/>
      <c r="O317" s="17" t="n"/>
    </row>
    <row r="318">
      <c r="A318" s="23" t="n"/>
      <c r="B318" s="17" t="n"/>
      <c r="C318" s="17" t="n"/>
      <c r="D318" s="17" t="n"/>
      <c r="E318" s="17" t="n"/>
      <c r="F318" s="17" t="n"/>
      <c r="G318" s="24">
        <f>IF(F318="","",IFERROR(INDEX(Plan!$C:$C,MATCH(F318,Plan!$A:$A,0)),"unknown ID"))</f>
        <v/>
      </c>
      <c r="H318" s="24">
        <f>IF(F318="","",IFERROR(INDEX(Plan!$D:$D,MATCH(F318,Plan!$A:$A,0)),""))</f>
        <v/>
      </c>
      <c r="I318" s="17" t="n"/>
      <c r="J318" s="17" t="n"/>
      <c r="K318" s="17" t="n"/>
      <c r="L318" s="17" t="n"/>
      <c r="M318" s="17" t="n"/>
      <c r="N318" s="17" t="n"/>
      <c r="O318" s="17" t="n"/>
    </row>
    <row r="319">
      <c r="A319" s="23" t="n"/>
      <c r="B319" s="17" t="n"/>
      <c r="C319" s="17" t="n"/>
      <c r="D319" s="17" t="n"/>
      <c r="E319" s="17" t="n"/>
      <c r="F319" s="17" t="n"/>
      <c r="G319" s="24">
        <f>IF(F319="","",IFERROR(INDEX(Plan!$C:$C,MATCH(F319,Plan!$A:$A,0)),"unknown ID"))</f>
        <v/>
      </c>
      <c r="H319" s="24">
        <f>IF(F319="","",IFERROR(INDEX(Plan!$D:$D,MATCH(F319,Plan!$A:$A,0)),""))</f>
        <v/>
      </c>
      <c r="I319" s="17" t="n"/>
      <c r="J319" s="17" t="n"/>
      <c r="K319" s="17" t="n"/>
      <c r="L319" s="17" t="n"/>
      <c r="M319" s="17" t="n"/>
      <c r="N319" s="17" t="n"/>
      <c r="O319" s="17" t="n"/>
    </row>
    <row r="320">
      <c r="A320" s="23" t="n"/>
      <c r="B320" s="17" t="n"/>
      <c r="C320" s="17" t="n"/>
      <c r="D320" s="17" t="n"/>
      <c r="E320" s="17" t="n"/>
      <c r="F320" s="17" t="n"/>
      <c r="G320" s="24">
        <f>IF(F320="","",IFERROR(INDEX(Plan!$C:$C,MATCH(F320,Plan!$A:$A,0)),"unknown ID"))</f>
        <v/>
      </c>
      <c r="H320" s="24">
        <f>IF(F320="","",IFERROR(INDEX(Plan!$D:$D,MATCH(F320,Plan!$A:$A,0)),""))</f>
        <v/>
      </c>
      <c r="I320" s="17" t="n"/>
      <c r="J320" s="17" t="n"/>
      <c r="K320" s="17" t="n"/>
      <c r="L320" s="17" t="n"/>
      <c r="M320" s="17" t="n"/>
      <c r="N320" s="17" t="n"/>
      <c r="O320" s="17" t="n"/>
    </row>
    <row r="321">
      <c r="A321" s="23" t="n"/>
      <c r="B321" s="17" t="n"/>
      <c r="C321" s="17" t="n"/>
      <c r="D321" s="17" t="n"/>
      <c r="E321" s="17" t="n"/>
      <c r="F321" s="17" t="n"/>
      <c r="G321" s="24">
        <f>IF(F321="","",IFERROR(INDEX(Plan!$C:$C,MATCH(F321,Plan!$A:$A,0)),"unknown ID"))</f>
        <v/>
      </c>
      <c r="H321" s="24">
        <f>IF(F321="","",IFERROR(INDEX(Plan!$D:$D,MATCH(F321,Plan!$A:$A,0)),""))</f>
        <v/>
      </c>
      <c r="I321" s="17" t="n"/>
      <c r="J321" s="17" t="n"/>
      <c r="K321" s="17" t="n"/>
      <c r="L321" s="17" t="n"/>
      <c r="M321" s="17" t="n"/>
      <c r="N321" s="17" t="n"/>
      <c r="O321" s="17" t="n"/>
    </row>
    <row r="322">
      <c r="A322" s="23" t="n"/>
      <c r="B322" s="17" t="n"/>
      <c r="C322" s="17" t="n"/>
      <c r="D322" s="17" t="n"/>
      <c r="E322" s="17" t="n"/>
      <c r="F322" s="17" t="n"/>
      <c r="G322" s="24">
        <f>IF(F322="","",IFERROR(INDEX(Plan!$C:$C,MATCH(F322,Plan!$A:$A,0)),"unknown ID"))</f>
        <v/>
      </c>
      <c r="H322" s="24">
        <f>IF(F322="","",IFERROR(INDEX(Plan!$D:$D,MATCH(F322,Plan!$A:$A,0)),""))</f>
        <v/>
      </c>
      <c r="I322" s="17" t="n"/>
      <c r="J322" s="17" t="n"/>
      <c r="K322" s="17" t="n"/>
      <c r="L322" s="17" t="n"/>
      <c r="M322" s="17" t="n"/>
      <c r="N322" s="17" t="n"/>
      <c r="O322" s="17" t="n"/>
    </row>
    <row r="323">
      <c r="A323" s="23" t="n"/>
      <c r="B323" s="17" t="n"/>
      <c r="C323" s="17" t="n"/>
      <c r="D323" s="17" t="n"/>
      <c r="E323" s="17" t="n"/>
      <c r="F323" s="17" t="n"/>
      <c r="G323" s="24">
        <f>IF(F323="","",IFERROR(INDEX(Plan!$C:$C,MATCH(F323,Plan!$A:$A,0)),"unknown ID"))</f>
        <v/>
      </c>
      <c r="H323" s="24">
        <f>IF(F323="","",IFERROR(INDEX(Plan!$D:$D,MATCH(F323,Plan!$A:$A,0)),""))</f>
        <v/>
      </c>
      <c r="I323" s="17" t="n"/>
      <c r="J323" s="17" t="n"/>
      <c r="K323" s="17" t="n"/>
      <c r="L323" s="17" t="n"/>
      <c r="M323" s="17" t="n"/>
      <c r="N323" s="17" t="n"/>
      <c r="O323" s="17" t="n"/>
    </row>
    <row r="324">
      <c r="A324" s="23" t="n"/>
      <c r="B324" s="17" t="n"/>
      <c r="C324" s="17" t="n"/>
      <c r="D324" s="17" t="n"/>
      <c r="E324" s="17" t="n"/>
      <c r="F324" s="17" t="n"/>
      <c r="G324" s="24">
        <f>IF(F324="","",IFERROR(INDEX(Plan!$C:$C,MATCH(F324,Plan!$A:$A,0)),"unknown ID"))</f>
        <v/>
      </c>
      <c r="H324" s="24">
        <f>IF(F324="","",IFERROR(INDEX(Plan!$D:$D,MATCH(F324,Plan!$A:$A,0)),""))</f>
        <v/>
      </c>
      <c r="I324" s="17" t="n"/>
      <c r="J324" s="17" t="n"/>
      <c r="K324" s="17" t="n"/>
      <c r="L324" s="17" t="n"/>
      <c r="M324" s="17" t="n"/>
      <c r="N324" s="17" t="n"/>
      <c r="O324" s="17" t="n"/>
    </row>
    <row r="325">
      <c r="A325" s="23" t="n"/>
      <c r="B325" s="17" t="n"/>
      <c r="C325" s="17" t="n"/>
      <c r="D325" s="17" t="n"/>
      <c r="E325" s="17" t="n"/>
      <c r="F325" s="17" t="n"/>
      <c r="G325" s="24">
        <f>IF(F325="","",IFERROR(INDEX(Plan!$C:$C,MATCH(F325,Plan!$A:$A,0)),"unknown ID"))</f>
        <v/>
      </c>
      <c r="H325" s="24">
        <f>IF(F325="","",IFERROR(INDEX(Plan!$D:$D,MATCH(F325,Plan!$A:$A,0)),""))</f>
        <v/>
      </c>
      <c r="I325" s="17" t="n"/>
      <c r="J325" s="17" t="n"/>
      <c r="K325" s="17" t="n"/>
      <c r="L325" s="17" t="n"/>
      <c r="M325" s="17" t="n"/>
      <c r="N325" s="17" t="n"/>
      <c r="O325" s="17" t="n"/>
    </row>
    <row r="326">
      <c r="A326" s="23" t="n"/>
      <c r="B326" s="17" t="n"/>
      <c r="C326" s="17" t="n"/>
      <c r="D326" s="17" t="n"/>
      <c r="E326" s="17" t="n"/>
      <c r="F326" s="17" t="n"/>
      <c r="G326" s="24">
        <f>IF(F326="","",IFERROR(INDEX(Plan!$C:$C,MATCH(F326,Plan!$A:$A,0)),"unknown ID"))</f>
        <v/>
      </c>
      <c r="H326" s="24">
        <f>IF(F326="","",IFERROR(INDEX(Plan!$D:$D,MATCH(F326,Plan!$A:$A,0)),""))</f>
        <v/>
      </c>
      <c r="I326" s="17" t="n"/>
      <c r="J326" s="17" t="n"/>
      <c r="K326" s="17" t="n"/>
      <c r="L326" s="17" t="n"/>
      <c r="M326" s="17" t="n"/>
      <c r="N326" s="17" t="n"/>
      <c r="O326" s="17" t="n"/>
    </row>
    <row r="327">
      <c r="A327" s="23" t="n"/>
      <c r="B327" s="17" t="n"/>
      <c r="C327" s="17" t="n"/>
      <c r="D327" s="17" t="n"/>
      <c r="E327" s="17" t="n"/>
      <c r="F327" s="17" t="n"/>
      <c r="G327" s="24">
        <f>IF(F327="","",IFERROR(INDEX(Plan!$C:$C,MATCH(F327,Plan!$A:$A,0)),"unknown ID"))</f>
        <v/>
      </c>
      <c r="H327" s="24">
        <f>IF(F327="","",IFERROR(INDEX(Plan!$D:$D,MATCH(F327,Plan!$A:$A,0)),""))</f>
        <v/>
      </c>
      <c r="I327" s="17" t="n"/>
      <c r="J327" s="17" t="n"/>
      <c r="K327" s="17" t="n"/>
      <c r="L327" s="17" t="n"/>
      <c r="M327" s="17" t="n"/>
      <c r="N327" s="17" t="n"/>
      <c r="O327" s="17" t="n"/>
    </row>
    <row r="328">
      <c r="A328" s="23" t="n"/>
      <c r="B328" s="17" t="n"/>
      <c r="C328" s="17" t="n"/>
      <c r="D328" s="17" t="n"/>
      <c r="E328" s="17" t="n"/>
      <c r="F328" s="17" t="n"/>
      <c r="G328" s="24">
        <f>IF(F328="","",IFERROR(INDEX(Plan!$C:$C,MATCH(F328,Plan!$A:$A,0)),"unknown ID"))</f>
        <v/>
      </c>
      <c r="H328" s="24">
        <f>IF(F328="","",IFERROR(INDEX(Plan!$D:$D,MATCH(F328,Plan!$A:$A,0)),""))</f>
        <v/>
      </c>
      <c r="I328" s="17" t="n"/>
      <c r="J328" s="17" t="n"/>
      <c r="K328" s="17" t="n"/>
      <c r="L328" s="17" t="n"/>
      <c r="M328" s="17" t="n"/>
      <c r="N328" s="17" t="n"/>
      <c r="O328" s="17" t="n"/>
    </row>
    <row r="329">
      <c r="A329" s="23" t="n"/>
      <c r="B329" s="17" t="n"/>
      <c r="C329" s="17" t="n"/>
      <c r="D329" s="17" t="n"/>
      <c r="E329" s="17" t="n"/>
      <c r="F329" s="17" t="n"/>
      <c r="G329" s="24">
        <f>IF(F329="","",IFERROR(INDEX(Plan!$C:$C,MATCH(F329,Plan!$A:$A,0)),"unknown ID"))</f>
        <v/>
      </c>
      <c r="H329" s="24">
        <f>IF(F329="","",IFERROR(INDEX(Plan!$D:$D,MATCH(F329,Plan!$A:$A,0)),""))</f>
        <v/>
      </c>
      <c r="I329" s="17" t="n"/>
      <c r="J329" s="17" t="n"/>
      <c r="K329" s="17" t="n"/>
      <c r="L329" s="17" t="n"/>
      <c r="M329" s="17" t="n"/>
      <c r="N329" s="17" t="n"/>
      <c r="O329" s="17" t="n"/>
    </row>
    <row r="330">
      <c r="A330" s="23" t="n"/>
      <c r="B330" s="17" t="n"/>
      <c r="C330" s="17" t="n"/>
      <c r="D330" s="17" t="n"/>
      <c r="E330" s="17" t="n"/>
      <c r="F330" s="17" t="n"/>
      <c r="G330" s="24">
        <f>IF(F330="","",IFERROR(INDEX(Plan!$C:$C,MATCH(F330,Plan!$A:$A,0)),"unknown ID"))</f>
        <v/>
      </c>
      <c r="H330" s="24">
        <f>IF(F330="","",IFERROR(INDEX(Plan!$D:$D,MATCH(F330,Plan!$A:$A,0)),""))</f>
        <v/>
      </c>
      <c r="I330" s="17" t="n"/>
      <c r="J330" s="17" t="n"/>
      <c r="K330" s="17" t="n"/>
      <c r="L330" s="17" t="n"/>
      <c r="M330" s="17" t="n"/>
      <c r="N330" s="17" t="n"/>
      <c r="O330" s="17" t="n"/>
    </row>
    <row r="331">
      <c r="A331" s="23" t="n"/>
      <c r="B331" s="17" t="n"/>
      <c r="C331" s="17" t="n"/>
      <c r="D331" s="17" t="n"/>
      <c r="E331" s="17" t="n"/>
      <c r="F331" s="17" t="n"/>
      <c r="G331" s="24">
        <f>IF(F331="","",IFERROR(INDEX(Plan!$C:$C,MATCH(F331,Plan!$A:$A,0)),"unknown ID"))</f>
        <v/>
      </c>
      <c r="H331" s="24">
        <f>IF(F331="","",IFERROR(INDEX(Plan!$D:$D,MATCH(F331,Plan!$A:$A,0)),""))</f>
        <v/>
      </c>
      <c r="I331" s="17" t="n"/>
      <c r="J331" s="17" t="n"/>
      <c r="K331" s="17" t="n"/>
      <c r="L331" s="17" t="n"/>
      <c r="M331" s="17" t="n"/>
      <c r="N331" s="17" t="n"/>
      <c r="O331" s="17" t="n"/>
    </row>
    <row r="332">
      <c r="A332" s="23" t="n"/>
      <c r="B332" s="17" t="n"/>
      <c r="C332" s="17" t="n"/>
      <c r="D332" s="17" t="n"/>
      <c r="E332" s="17" t="n"/>
      <c r="F332" s="17" t="n"/>
      <c r="G332" s="24">
        <f>IF(F332="","",IFERROR(INDEX(Plan!$C:$C,MATCH(F332,Plan!$A:$A,0)),"unknown ID"))</f>
        <v/>
      </c>
      <c r="H332" s="24">
        <f>IF(F332="","",IFERROR(INDEX(Plan!$D:$D,MATCH(F332,Plan!$A:$A,0)),""))</f>
        <v/>
      </c>
      <c r="I332" s="17" t="n"/>
      <c r="J332" s="17" t="n"/>
      <c r="K332" s="17" t="n"/>
      <c r="L332" s="17" t="n"/>
      <c r="M332" s="17" t="n"/>
      <c r="N332" s="17" t="n"/>
      <c r="O332" s="17" t="n"/>
    </row>
    <row r="333">
      <c r="A333" s="23" t="n"/>
      <c r="B333" s="17" t="n"/>
      <c r="C333" s="17" t="n"/>
      <c r="D333" s="17" t="n"/>
      <c r="E333" s="17" t="n"/>
      <c r="F333" s="17" t="n"/>
      <c r="G333" s="24">
        <f>IF(F333="","",IFERROR(INDEX(Plan!$C:$C,MATCH(F333,Plan!$A:$A,0)),"unknown ID"))</f>
        <v/>
      </c>
      <c r="H333" s="24">
        <f>IF(F333="","",IFERROR(INDEX(Plan!$D:$D,MATCH(F333,Plan!$A:$A,0)),""))</f>
        <v/>
      </c>
      <c r="I333" s="17" t="n"/>
      <c r="J333" s="17" t="n"/>
      <c r="K333" s="17" t="n"/>
      <c r="L333" s="17" t="n"/>
      <c r="M333" s="17" t="n"/>
      <c r="N333" s="17" t="n"/>
      <c r="O333" s="17" t="n"/>
    </row>
    <row r="334">
      <c r="A334" s="23" t="n"/>
      <c r="B334" s="17" t="n"/>
      <c r="C334" s="17" t="n"/>
      <c r="D334" s="17" t="n"/>
      <c r="E334" s="17" t="n"/>
      <c r="F334" s="17" t="n"/>
      <c r="G334" s="24">
        <f>IF(F334="","",IFERROR(INDEX(Plan!$C:$C,MATCH(F334,Plan!$A:$A,0)),"unknown ID"))</f>
        <v/>
      </c>
      <c r="H334" s="24">
        <f>IF(F334="","",IFERROR(INDEX(Plan!$D:$D,MATCH(F334,Plan!$A:$A,0)),""))</f>
        <v/>
      </c>
      <c r="I334" s="17" t="n"/>
      <c r="J334" s="17" t="n"/>
      <c r="K334" s="17" t="n"/>
      <c r="L334" s="17" t="n"/>
      <c r="M334" s="17" t="n"/>
      <c r="N334" s="17" t="n"/>
      <c r="O334" s="17" t="n"/>
    </row>
    <row r="335">
      <c r="A335" s="23" t="n"/>
      <c r="B335" s="17" t="n"/>
      <c r="C335" s="17" t="n"/>
      <c r="D335" s="17" t="n"/>
      <c r="E335" s="17" t="n"/>
      <c r="F335" s="17" t="n"/>
      <c r="G335" s="24">
        <f>IF(F335="","",IFERROR(INDEX(Plan!$C:$C,MATCH(F335,Plan!$A:$A,0)),"unknown ID"))</f>
        <v/>
      </c>
      <c r="H335" s="24">
        <f>IF(F335="","",IFERROR(INDEX(Plan!$D:$D,MATCH(F335,Plan!$A:$A,0)),""))</f>
        <v/>
      </c>
      <c r="I335" s="17" t="n"/>
      <c r="J335" s="17" t="n"/>
      <c r="K335" s="17" t="n"/>
      <c r="L335" s="17" t="n"/>
      <c r="M335" s="17" t="n"/>
      <c r="N335" s="17" t="n"/>
      <c r="O335" s="17" t="n"/>
    </row>
    <row r="336">
      <c r="A336" s="23" t="n"/>
      <c r="B336" s="17" t="n"/>
      <c r="C336" s="17" t="n"/>
      <c r="D336" s="17" t="n"/>
      <c r="E336" s="17" t="n"/>
      <c r="F336" s="17" t="n"/>
      <c r="G336" s="24">
        <f>IF(F336="","",IFERROR(INDEX(Plan!$C:$C,MATCH(F336,Plan!$A:$A,0)),"unknown ID"))</f>
        <v/>
      </c>
      <c r="H336" s="24">
        <f>IF(F336="","",IFERROR(INDEX(Plan!$D:$D,MATCH(F336,Plan!$A:$A,0)),""))</f>
        <v/>
      </c>
      <c r="I336" s="17" t="n"/>
      <c r="J336" s="17" t="n"/>
      <c r="K336" s="17" t="n"/>
      <c r="L336" s="17" t="n"/>
      <c r="M336" s="17" t="n"/>
      <c r="N336" s="17" t="n"/>
      <c r="O336" s="17" t="n"/>
    </row>
    <row r="337">
      <c r="A337" s="23" t="n"/>
      <c r="B337" s="17" t="n"/>
      <c r="C337" s="17" t="n"/>
      <c r="D337" s="17" t="n"/>
      <c r="E337" s="17" t="n"/>
      <c r="F337" s="17" t="n"/>
      <c r="G337" s="24">
        <f>IF(F337="","",IFERROR(INDEX(Plan!$C:$C,MATCH(F337,Plan!$A:$A,0)),"unknown ID"))</f>
        <v/>
      </c>
      <c r="H337" s="24">
        <f>IF(F337="","",IFERROR(INDEX(Plan!$D:$D,MATCH(F337,Plan!$A:$A,0)),""))</f>
        <v/>
      </c>
      <c r="I337" s="17" t="n"/>
      <c r="J337" s="17" t="n"/>
      <c r="K337" s="17" t="n"/>
      <c r="L337" s="17" t="n"/>
      <c r="M337" s="17" t="n"/>
      <c r="N337" s="17" t="n"/>
      <c r="O337" s="17" t="n"/>
    </row>
    <row r="338">
      <c r="A338" s="23" t="n"/>
      <c r="B338" s="17" t="n"/>
      <c r="C338" s="17" t="n"/>
      <c r="D338" s="17" t="n"/>
      <c r="E338" s="17" t="n"/>
      <c r="F338" s="17" t="n"/>
      <c r="G338" s="24">
        <f>IF(F338="","",IFERROR(INDEX(Plan!$C:$C,MATCH(F338,Plan!$A:$A,0)),"unknown ID"))</f>
        <v/>
      </c>
      <c r="H338" s="24">
        <f>IF(F338="","",IFERROR(INDEX(Plan!$D:$D,MATCH(F338,Plan!$A:$A,0)),""))</f>
        <v/>
      </c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23" t="n"/>
      <c r="B339" s="17" t="n"/>
      <c r="C339" s="17" t="n"/>
      <c r="D339" s="17" t="n"/>
      <c r="E339" s="17" t="n"/>
      <c r="F339" s="17" t="n"/>
      <c r="G339" s="24">
        <f>IF(F339="","",IFERROR(INDEX(Plan!$C:$C,MATCH(F339,Plan!$A:$A,0)),"unknown ID"))</f>
        <v/>
      </c>
      <c r="H339" s="24">
        <f>IF(F339="","",IFERROR(INDEX(Plan!$D:$D,MATCH(F339,Plan!$A:$A,0)),""))</f>
        <v/>
      </c>
      <c r="I339" s="17" t="n"/>
      <c r="J339" s="17" t="n"/>
      <c r="K339" s="17" t="n"/>
      <c r="L339" s="17" t="n"/>
      <c r="M339" s="17" t="n"/>
      <c r="N339" s="17" t="n"/>
      <c r="O339" s="17" t="n"/>
    </row>
    <row r="340">
      <c r="A340" s="23" t="n"/>
      <c r="B340" s="17" t="n"/>
      <c r="C340" s="17" t="n"/>
      <c r="D340" s="17" t="n"/>
      <c r="E340" s="17" t="n"/>
      <c r="F340" s="17" t="n"/>
      <c r="G340" s="24">
        <f>IF(F340="","",IFERROR(INDEX(Plan!$C:$C,MATCH(F340,Plan!$A:$A,0)),"unknown ID"))</f>
        <v/>
      </c>
      <c r="H340" s="24">
        <f>IF(F340="","",IFERROR(INDEX(Plan!$D:$D,MATCH(F340,Plan!$A:$A,0)),""))</f>
        <v/>
      </c>
      <c r="I340" s="17" t="n"/>
      <c r="J340" s="17" t="n"/>
      <c r="K340" s="17" t="n"/>
      <c r="L340" s="17" t="n"/>
      <c r="M340" s="17" t="n"/>
      <c r="N340" s="17" t="n"/>
      <c r="O340" s="17" t="n"/>
    </row>
    <row r="341">
      <c r="A341" s="23" t="n"/>
      <c r="B341" s="17" t="n"/>
      <c r="C341" s="17" t="n"/>
      <c r="D341" s="17" t="n"/>
      <c r="E341" s="17" t="n"/>
      <c r="F341" s="17" t="n"/>
      <c r="G341" s="24">
        <f>IF(F341="","",IFERROR(INDEX(Plan!$C:$C,MATCH(F341,Plan!$A:$A,0)),"unknown ID"))</f>
        <v/>
      </c>
      <c r="H341" s="24">
        <f>IF(F341="","",IFERROR(INDEX(Plan!$D:$D,MATCH(F341,Plan!$A:$A,0)),""))</f>
        <v/>
      </c>
      <c r="I341" s="17" t="n"/>
      <c r="J341" s="17" t="n"/>
      <c r="K341" s="17" t="n"/>
      <c r="L341" s="17" t="n"/>
      <c r="M341" s="17" t="n"/>
      <c r="N341" s="17" t="n"/>
      <c r="O341" s="17" t="n"/>
    </row>
    <row r="342">
      <c r="A342" s="23" t="n"/>
      <c r="B342" s="17" t="n"/>
      <c r="C342" s="17" t="n"/>
      <c r="D342" s="17" t="n"/>
      <c r="E342" s="17" t="n"/>
      <c r="F342" s="17" t="n"/>
      <c r="G342" s="24">
        <f>IF(F342="","",IFERROR(INDEX(Plan!$C:$C,MATCH(F342,Plan!$A:$A,0)),"unknown ID"))</f>
        <v/>
      </c>
      <c r="H342" s="24">
        <f>IF(F342="","",IFERROR(INDEX(Plan!$D:$D,MATCH(F342,Plan!$A:$A,0)),""))</f>
        <v/>
      </c>
      <c r="I342" s="17" t="n"/>
      <c r="J342" s="17" t="n"/>
      <c r="K342" s="17" t="n"/>
      <c r="L342" s="17" t="n"/>
      <c r="M342" s="17" t="n"/>
      <c r="N342" s="17" t="n"/>
      <c r="O342" s="17" t="n"/>
    </row>
    <row r="343">
      <c r="A343" s="23" t="n"/>
      <c r="B343" s="17" t="n"/>
      <c r="C343" s="17" t="n"/>
      <c r="D343" s="17" t="n"/>
      <c r="E343" s="17" t="n"/>
      <c r="F343" s="17" t="n"/>
      <c r="G343" s="24">
        <f>IF(F343="","",IFERROR(INDEX(Plan!$C:$C,MATCH(F343,Plan!$A:$A,0)),"unknown ID"))</f>
        <v/>
      </c>
      <c r="H343" s="24">
        <f>IF(F343="","",IFERROR(INDEX(Plan!$D:$D,MATCH(F343,Plan!$A:$A,0)),""))</f>
        <v/>
      </c>
      <c r="I343" s="17" t="n"/>
      <c r="J343" s="17" t="n"/>
      <c r="K343" s="17" t="n"/>
      <c r="L343" s="17" t="n"/>
      <c r="M343" s="17" t="n"/>
      <c r="N343" s="17" t="n"/>
      <c r="O343" s="17" t="n"/>
    </row>
    <row r="344">
      <c r="A344" s="23" t="n"/>
      <c r="B344" s="17" t="n"/>
      <c r="C344" s="17" t="n"/>
      <c r="D344" s="17" t="n"/>
      <c r="E344" s="17" t="n"/>
      <c r="F344" s="17" t="n"/>
      <c r="G344" s="24">
        <f>IF(F344="","",IFERROR(INDEX(Plan!$C:$C,MATCH(F344,Plan!$A:$A,0)),"unknown ID"))</f>
        <v/>
      </c>
      <c r="H344" s="24">
        <f>IF(F344="","",IFERROR(INDEX(Plan!$D:$D,MATCH(F344,Plan!$A:$A,0)),""))</f>
        <v/>
      </c>
      <c r="I344" s="17" t="n"/>
      <c r="J344" s="17" t="n"/>
      <c r="K344" s="17" t="n"/>
      <c r="L344" s="17" t="n"/>
      <c r="M344" s="17" t="n"/>
      <c r="N344" s="17" t="n"/>
      <c r="O344" s="17" t="n"/>
    </row>
    <row r="345">
      <c r="A345" s="23" t="n"/>
      <c r="B345" s="17" t="n"/>
      <c r="C345" s="17" t="n"/>
      <c r="D345" s="17" t="n"/>
      <c r="E345" s="17" t="n"/>
      <c r="F345" s="17" t="n"/>
      <c r="G345" s="24">
        <f>IF(F345="","",IFERROR(INDEX(Plan!$C:$C,MATCH(F345,Plan!$A:$A,0)),"unknown ID"))</f>
        <v/>
      </c>
      <c r="H345" s="24">
        <f>IF(F345="","",IFERROR(INDEX(Plan!$D:$D,MATCH(F345,Plan!$A:$A,0)),""))</f>
        <v/>
      </c>
      <c r="I345" s="17" t="n"/>
      <c r="J345" s="17" t="n"/>
      <c r="K345" s="17" t="n"/>
      <c r="L345" s="17" t="n"/>
      <c r="M345" s="17" t="n"/>
      <c r="N345" s="17" t="n"/>
      <c r="O345" s="17" t="n"/>
    </row>
    <row r="346">
      <c r="A346" s="23" t="n"/>
      <c r="B346" s="17" t="n"/>
      <c r="C346" s="17" t="n"/>
      <c r="D346" s="17" t="n"/>
      <c r="E346" s="17" t="n"/>
      <c r="F346" s="17" t="n"/>
      <c r="G346" s="24">
        <f>IF(F346="","",IFERROR(INDEX(Plan!$C:$C,MATCH(F346,Plan!$A:$A,0)),"unknown ID"))</f>
        <v/>
      </c>
      <c r="H346" s="24">
        <f>IF(F346="","",IFERROR(INDEX(Plan!$D:$D,MATCH(F346,Plan!$A:$A,0)),""))</f>
        <v/>
      </c>
      <c r="I346" s="17" t="n"/>
      <c r="J346" s="17" t="n"/>
      <c r="K346" s="17" t="n"/>
      <c r="L346" s="17" t="n"/>
      <c r="M346" s="17" t="n"/>
      <c r="N346" s="17" t="n"/>
      <c r="O346" s="17" t="n"/>
    </row>
    <row r="347">
      <c r="A347" s="23" t="n"/>
      <c r="B347" s="17" t="n"/>
      <c r="C347" s="17" t="n"/>
      <c r="D347" s="17" t="n"/>
      <c r="E347" s="17" t="n"/>
      <c r="F347" s="17" t="n"/>
      <c r="G347" s="24">
        <f>IF(F347="","",IFERROR(INDEX(Plan!$C:$C,MATCH(F347,Plan!$A:$A,0)),"unknown ID"))</f>
        <v/>
      </c>
      <c r="H347" s="24">
        <f>IF(F347="","",IFERROR(INDEX(Plan!$D:$D,MATCH(F347,Plan!$A:$A,0)),""))</f>
        <v/>
      </c>
      <c r="I347" s="17" t="n"/>
      <c r="J347" s="17" t="n"/>
      <c r="K347" s="17" t="n"/>
      <c r="L347" s="17" t="n"/>
      <c r="M347" s="17" t="n"/>
      <c r="N347" s="17" t="n"/>
      <c r="O347" s="17" t="n"/>
    </row>
    <row r="348">
      <c r="A348" s="23" t="n"/>
      <c r="B348" s="17" t="n"/>
      <c r="C348" s="17" t="n"/>
      <c r="D348" s="17" t="n"/>
      <c r="E348" s="17" t="n"/>
      <c r="F348" s="17" t="n"/>
      <c r="G348" s="24">
        <f>IF(F348="","",IFERROR(INDEX(Plan!$C:$C,MATCH(F348,Plan!$A:$A,0)),"unknown ID"))</f>
        <v/>
      </c>
      <c r="H348" s="24">
        <f>IF(F348="","",IFERROR(INDEX(Plan!$D:$D,MATCH(F348,Plan!$A:$A,0)),""))</f>
        <v/>
      </c>
      <c r="I348" s="17" t="n"/>
      <c r="J348" s="17" t="n"/>
      <c r="K348" s="17" t="n"/>
      <c r="L348" s="17" t="n"/>
      <c r="M348" s="17" t="n"/>
      <c r="N348" s="17" t="n"/>
      <c r="O348" s="17" t="n"/>
    </row>
    <row r="349">
      <c r="A349" s="23" t="n"/>
      <c r="B349" s="17" t="n"/>
      <c r="C349" s="17" t="n"/>
      <c r="D349" s="17" t="n"/>
      <c r="E349" s="17" t="n"/>
      <c r="F349" s="17" t="n"/>
      <c r="G349" s="24">
        <f>IF(F349="","",IFERROR(INDEX(Plan!$C:$C,MATCH(F349,Plan!$A:$A,0)),"unknown ID"))</f>
        <v/>
      </c>
      <c r="H349" s="24">
        <f>IF(F349="","",IFERROR(INDEX(Plan!$D:$D,MATCH(F349,Plan!$A:$A,0)),""))</f>
        <v/>
      </c>
      <c r="I349" s="17" t="n"/>
      <c r="J349" s="17" t="n"/>
      <c r="K349" s="17" t="n"/>
      <c r="L349" s="17" t="n"/>
      <c r="M349" s="17" t="n"/>
      <c r="N349" s="17" t="n"/>
      <c r="O349" s="17" t="n"/>
    </row>
    <row r="350">
      <c r="A350" s="23" t="n"/>
      <c r="B350" s="17" t="n"/>
      <c r="C350" s="17" t="n"/>
      <c r="D350" s="17" t="n"/>
      <c r="E350" s="17" t="n"/>
      <c r="F350" s="17" t="n"/>
      <c r="G350" s="24">
        <f>IF(F350="","",IFERROR(INDEX(Plan!$C:$C,MATCH(F350,Plan!$A:$A,0)),"unknown ID"))</f>
        <v/>
      </c>
      <c r="H350" s="24">
        <f>IF(F350="","",IFERROR(INDEX(Plan!$D:$D,MATCH(F350,Plan!$A:$A,0)),""))</f>
        <v/>
      </c>
      <c r="I350" s="17" t="n"/>
      <c r="J350" s="17" t="n"/>
      <c r="K350" s="17" t="n"/>
      <c r="L350" s="17" t="n"/>
      <c r="M350" s="17" t="n"/>
      <c r="N350" s="17" t="n"/>
      <c r="O350" s="17" t="n"/>
    </row>
    <row r="351">
      <c r="A351" s="23" t="n"/>
      <c r="B351" s="17" t="n"/>
      <c r="C351" s="17" t="n"/>
      <c r="D351" s="17" t="n"/>
      <c r="E351" s="17" t="n"/>
      <c r="F351" s="17" t="n"/>
      <c r="G351" s="24">
        <f>IF(F351="","",IFERROR(INDEX(Plan!$C:$C,MATCH(F351,Plan!$A:$A,0)),"unknown ID"))</f>
        <v/>
      </c>
      <c r="H351" s="24">
        <f>IF(F351="","",IFERROR(INDEX(Plan!$D:$D,MATCH(F351,Plan!$A:$A,0)),""))</f>
        <v/>
      </c>
      <c r="I351" s="17" t="n"/>
      <c r="J351" s="17" t="n"/>
      <c r="K351" s="17" t="n"/>
      <c r="L351" s="17" t="n"/>
      <c r="M351" s="17" t="n"/>
      <c r="N351" s="17" t="n"/>
      <c r="O351" s="17" t="n"/>
    </row>
    <row r="352">
      <c r="A352" s="23" t="n"/>
      <c r="B352" s="17" t="n"/>
      <c r="C352" s="17" t="n"/>
      <c r="D352" s="17" t="n"/>
      <c r="E352" s="17" t="n"/>
      <c r="F352" s="17" t="n"/>
      <c r="G352" s="24">
        <f>IF(F352="","",IFERROR(INDEX(Plan!$C:$C,MATCH(F352,Plan!$A:$A,0)),"unknown ID"))</f>
        <v/>
      </c>
      <c r="H352" s="24">
        <f>IF(F352="","",IFERROR(INDEX(Plan!$D:$D,MATCH(F352,Plan!$A:$A,0)),""))</f>
        <v/>
      </c>
      <c r="I352" s="17" t="n"/>
      <c r="J352" s="17" t="n"/>
      <c r="K352" s="17" t="n"/>
      <c r="L352" s="17" t="n"/>
      <c r="M352" s="17" t="n"/>
      <c r="N352" s="17" t="n"/>
      <c r="O352" s="17" t="n"/>
    </row>
    <row r="353">
      <c r="A353" s="23" t="n"/>
      <c r="B353" s="17" t="n"/>
      <c r="C353" s="17" t="n"/>
      <c r="D353" s="17" t="n"/>
      <c r="E353" s="17" t="n"/>
      <c r="F353" s="17" t="n"/>
      <c r="G353" s="24">
        <f>IF(F353="","",IFERROR(INDEX(Plan!$C:$C,MATCH(F353,Plan!$A:$A,0)),"unknown ID"))</f>
        <v/>
      </c>
      <c r="H353" s="24">
        <f>IF(F353="","",IFERROR(INDEX(Plan!$D:$D,MATCH(F353,Plan!$A:$A,0)),""))</f>
        <v/>
      </c>
      <c r="I353" s="17" t="n"/>
      <c r="J353" s="17" t="n"/>
      <c r="K353" s="17" t="n"/>
      <c r="L353" s="17" t="n"/>
      <c r="M353" s="17" t="n"/>
      <c r="N353" s="17" t="n"/>
      <c r="O353" s="17" t="n"/>
    </row>
    <row r="354">
      <c r="A354" s="23" t="n"/>
      <c r="B354" s="17" t="n"/>
      <c r="C354" s="17" t="n"/>
      <c r="D354" s="17" t="n"/>
      <c r="E354" s="17" t="n"/>
      <c r="F354" s="17" t="n"/>
      <c r="G354" s="24">
        <f>IF(F354="","",IFERROR(INDEX(Plan!$C:$C,MATCH(F354,Plan!$A:$A,0)),"unknown ID"))</f>
        <v/>
      </c>
      <c r="H354" s="24">
        <f>IF(F354="","",IFERROR(INDEX(Plan!$D:$D,MATCH(F354,Plan!$A:$A,0)),""))</f>
        <v/>
      </c>
      <c r="I354" s="17" t="n"/>
      <c r="J354" s="17" t="n"/>
      <c r="K354" s="17" t="n"/>
      <c r="L354" s="17" t="n"/>
      <c r="M354" s="17" t="n"/>
      <c r="N354" s="17" t="n"/>
      <c r="O354" s="17" t="n"/>
    </row>
    <row r="355">
      <c r="A355" s="23" t="n"/>
      <c r="B355" s="17" t="n"/>
      <c r="C355" s="17" t="n"/>
      <c r="D355" s="17" t="n"/>
      <c r="E355" s="17" t="n"/>
      <c r="F355" s="17" t="n"/>
      <c r="G355" s="24">
        <f>IF(F355="","",IFERROR(INDEX(Plan!$C:$C,MATCH(F355,Plan!$A:$A,0)),"unknown ID"))</f>
        <v/>
      </c>
      <c r="H355" s="24">
        <f>IF(F355="","",IFERROR(INDEX(Plan!$D:$D,MATCH(F355,Plan!$A:$A,0)),""))</f>
        <v/>
      </c>
      <c r="I355" s="17" t="n"/>
      <c r="J355" s="17" t="n"/>
      <c r="K355" s="17" t="n"/>
      <c r="L355" s="17" t="n"/>
      <c r="M355" s="17" t="n"/>
      <c r="N355" s="17" t="n"/>
      <c r="O355" s="17" t="n"/>
    </row>
    <row r="356">
      <c r="A356" s="23" t="n"/>
      <c r="B356" s="17" t="n"/>
      <c r="C356" s="17" t="n"/>
      <c r="D356" s="17" t="n"/>
      <c r="E356" s="17" t="n"/>
      <c r="F356" s="17" t="n"/>
      <c r="G356" s="24">
        <f>IF(F356="","",IFERROR(INDEX(Plan!$C:$C,MATCH(F356,Plan!$A:$A,0)),"unknown ID"))</f>
        <v/>
      </c>
      <c r="H356" s="24">
        <f>IF(F356="","",IFERROR(INDEX(Plan!$D:$D,MATCH(F356,Plan!$A:$A,0)),""))</f>
        <v/>
      </c>
      <c r="I356" s="17" t="n"/>
      <c r="J356" s="17" t="n"/>
      <c r="K356" s="17" t="n"/>
      <c r="L356" s="17" t="n"/>
      <c r="M356" s="17" t="n"/>
      <c r="N356" s="17" t="n"/>
      <c r="O356" s="17" t="n"/>
    </row>
    <row r="357">
      <c r="A357" s="23" t="n"/>
      <c r="B357" s="17" t="n"/>
      <c r="C357" s="17" t="n"/>
      <c r="D357" s="17" t="n"/>
      <c r="E357" s="17" t="n"/>
      <c r="F357" s="17" t="n"/>
      <c r="G357" s="24">
        <f>IF(F357="","",IFERROR(INDEX(Plan!$C:$C,MATCH(F357,Plan!$A:$A,0)),"unknown ID"))</f>
        <v/>
      </c>
      <c r="H357" s="24">
        <f>IF(F357="","",IFERROR(INDEX(Plan!$D:$D,MATCH(F357,Plan!$A:$A,0)),""))</f>
        <v/>
      </c>
      <c r="I357" s="17" t="n"/>
      <c r="J357" s="17" t="n"/>
      <c r="K357" s="17" t="n"/>
      <c r="L357" s="17" t="n"/>
      <c r="M357" s="17" t="n"/>
      <c r="N357" s="17" t="n"/>
      <c r="O357" s="17" t="n"/>
    </row>
    <row r="358">
      <c r="A358" s="23" t="n"/>
      <c r="B358" s="17" t="n"/>
      <c r="C358" s="17" t="n"/>
      <c r="D358" s="17" t="n"/>
      <c r="E358" s="17" t="n"/>
      <c r="F358" s="17" t="n"/>
      <c r="G358" s="24">
        <f>IF(F358="","",IFERROR(INDEX(Plan!$C:$C,MATCH(F358,Plan!$A:$A,0)),"unknown ID"))</f>
        <v/>
      </c>
      <c r="H358" s="24">
        <f>IF(F358="","",IFERROR(INDEX(Plan!$D:$D,MATCH(F358,Plan!$A:$A,0)),""))</f>
        <v/>
      </c>
      <c r="I358" s="17" t="n"/>
      <c r="J358" s="17" t="n"/>
      <c r="K358" s="17" t="n"/>
      <c r="L358" s="17" t="n"/>
      <c r="M358" s="17" t="n"/>
      <c r="N358" s="17" t="n"/>
      <c r="O358" s="17" t="n"/>
    </row>
    <row r="359">
      <c r="A359" s="23" t="n"/>
      <c r="B359" s="17" t="n"/>
      <c r="C359" s="17" t="n"/>
      <c r="D359" s="17" t="n"/>
      <c r="E359" s="17" t="n"/>
      <c r="F359" s="17" t="n"/>
      <c r="G359" s="24">
        <f>IF(F359="","",IFERROR(INDEX(Plan!$C:$C,MATCH(F359,Plan!$A:$A,0)),"unknown ID"))</f>
        <v/>
      </c>
      <c r="H359" s="24">
        <f>IF(F359="","",IFERROR(INDEX(Plan!$D:$D,MATCH(F359,Plan!$A:$A,0)),""))</f>
        <v/>
      </c>
      <c r="I359" s="17" t="n"/>
      <c r="J359" s="17" t="n"/>
      <c r="K359" s="17" t="n"/>
      <c r="L359" s="17" t="n"/>
      <c r="M359" s="17" t="n"/>
      <c r="N359" s="17" t="n"/>
      <c r="O359" s="17" t="n"/>
    </row>
    <row r="360">
      <c r="A360" s="23" t="n"/>
      <c r="B360" s="17" t="n"/>
      <c r="C360" s="17" t="n"/>
      <c r="D360" s="17" t="n"/>
      <c r="E360" s="17" t="n"/>
      <c r="F360" s="17" t="n"/>
      <c r="G360" s="24">
        <f>IF(F360="","",IFERROR(INDEX(Plan!$C:$C,MATCH(F360,Plan!$A:$A,0)),"unknown ID"))</f>
        <v/>
      </c>
      <c r="H360" s="24">
        <f>IF(F360="","",IFERROR(INDEX(Plan!$D:$D,MATCH(F360,Plan!$A:$A,0)),""))</f>
        <v/>
      </c>
      <c r="I360" s="17" t="n"/>
      <c r="J360" s="17" t="n"/>
      <c r="K360" s="17" t="n"/>
      <c r="L360" s="17" t="n"/>
      <c r="M360" s="17" t="n"/>
      <c r="N360" s="17" t="n"/>
      <c r="O360" s="17" t="n"/>
    </row>
    <row r="361">
      <c r="A361" s="23" t="n"/>
      <c r="B361" s="17" t="n"/>
      <c r="C361" s="17" t="n"/>
      <c r="D361" s="17" t="n"/>
      <c r="E361" s="17" t="n"/>
      <c r="F361" s="17" t="n"/>
      <c r="G361" s="24">
        <f>IF(F361="","",IFERROR(INDEX(Plan!$C:$C,MATCH(F361,Plan!$A:$A,0)),"unknown ID"))</f>
        <v/>
      </c>
      <c r="H361" s="24">
        <f>IF(F361="","",IFERROR(INDEX(Plan!$D:$D,MATCH(F361,Plan!$A:$A,0)),""))</f>
        <v/>
      </c>
      <c r="I361" s="17" t="n"/>
      <c r="J361" s="17" t="n"/>
      <c r="K361" s="17" t="n"/>
      <c r="L361" s="17" t="n"/>
      <c r="M361" s="17" t="n"/>
      <c r="N361" s="17" t="n"/>
      <c r="O361" s="17" t="n"/>
    </row>
    <row r="362">
      <c r="A362" s="23" t="n"/>
      <c r="B362" s="17" t="n"/>
      <c r="C362" s="17" t="n"/>
      <c r="D362" s="17" t="n"/>
      <c r="E362" s="17" t="n"/>
      <c r="F362" s="17" t="n"/>
      <c r="G362" s="24">
        <f>IF(F362="","",IFERROR(INDEX(Plan!$C:$C,MATCH(F362,Plan!$A:$A,0)),"unknown ID"))</f>
        <v/>
      </c>
      <c r="H362" s="24">
        <f>IF(F362="","",IFERROR(INDEX(Plan!$D:$D,MATCH(F362,Plan!$A:$A,0)),""))</f>
        <v/>
      </c>
      <c r="I362" s="17" t="n"/>
      <c r="J362" s="17" t="n"/>
      <c r="K362" s="17" t="n"/>
      <c r="L362" s="17" t="n"/>
      <c r="M362" s="17" t="n"/>
      <c r="N362" s="17" t="n"/>
      <c r="O362" s="17" t="n"/>
    </row>
    <row r="363">
      <c r="A363" s="23" t="n"/>
      <c r="B363" s="17" t="n"/>
      <c r="C363" s="17" t="n"/>
      <c r="D363" s="17" t="n"/>
      <c r="E363" s="17" t="n"/>
      <c r="F363" s="17" t="n"/>
      <c r="G363" s="24">
        <f>IF(F363="","",IFERROR(INDEX(Plan!$C:$C,MATCH(F363,Plan!$A:$A,0)),"unknown ID"))</f>
        <v/>
      </c>
      <c r="H363" s="24">
        <f>IF(F363="","",IFERROR(INDEX(Plan!$D:$D,MATCH(F363,Plan!$A:$A,0)),""))</f>
        <v/>
      </c>
      <c r="I363" s="17" t="n"/>
      <c r="J363" s="17" t="n"/>
      <c r="K363" s="17" t="n"/>
      <c r="L363" s="17" t="n"/>
      <c r="M363" s="17" t="n"/>
      <c r="N363" s="17" t="n"/>
      <c r="O363" s="17" t="n"/>
    </row>
    <row r="364">
      <c r="A364" s="23" t="n"/>
      <c r="B364" s="17" t="n"/>
      <c r="C364" s="17" t="n"/>
      <c r="D364" s="17" t="n"/>
      <c r="E364" s="17" t="n"/>
      <c r="F364" s="17" t="n"/>
      <c r="G364" s="24">
        <f>IF(F364="","",IFERROR(INDEX(Plan!$C:$C,MATCH(F364,Plan!$A:$A,0)),"unknown ID"))</f>
        <v/>
      </c>
      <c r="H364" s="24">
        <f>IF(F364="","",IFERROR(INDEX(Plan!$D:$D,MATCH(F364,Plan!$A:$A,0)),""))</f>
        <v/>
      </c>
      <c r="I364" s="17" t="n"/>
      <c r="J364" s="17" t="n"/>
      <c r="K364" s="17" t="n"/>
      <c r="L364" s="17" t="n"/>
      <c r="M364" s="17" t="n"/>
      <c r="N364" s="17" t="n"/>
      <c r="O364" s="17" t="n"/>
    </row>
    <row r="365">
      <c r="A365" s="23" t="n"/>
      <c r="B365" s="17" t="n"/>
      <c r="C365" s="17" t="n"/>
      <c r="D365" s="17" t="n"/>
      <c r="E365" s="17" t="n"/>
      <c r="F365" s="17" t="n"/>
      <c r="G365" s="24">
        <f>IF(F365="","",IFERROR(INDEX(Plan!$C:$C,MATCH(F365,Plan!$A:$A,0)),"unknown ID"))</f>
        <v/>
      </c>
      <c r="H365" s="24">
        <f>IF(F365="","",IFERROR(INDEX(Plan!$D:$D,MATCH(F365,Plan!$A:$A,0)),""))</f>
        <v/>
      </c>
      <c r="I365" s="17" t="n"/>
      <c r="J365" s="17" t="n"/>
      <c r="K365" s="17" t="n"/>
      <c r="L365" s="17" t="n"/>
      <c r="M365" s="17" t="n"/>
      <c r="N365" s="17" t="n"/>
      <c r="O365" s="17" t="n"/>
    </row>
    <row r="366">
      <c r="A366" s="23" t="n"/>
      <c r="B366" s="17" t="n"/>
      <c r="C366" s="17" t="n"/>
      <c r="D366" s="17" t="n"/>
      <c r="E366" s="17" t="n"/>
      <c r="F366" s="17" t="n"/>
      <c r="G366" s="24">
        <f>IF(F366="","",IFERROR(INDEX(Plan!$C:$C,MATCH(F366,Plan!$A:$A,0)),"unknown ID"))</f>
        <v/>
      </c>
      <c r="H366" s="24">
        <f>IF(F366="","",IFERROR(INDEX(Plan!$D:$D,MATCH(F366,Plan!$A:$A,0)),""))</f>
        <v/>
      </c>
      <c r="I366" s="17" t="n"/>
      <c r="J366" s="17" t="n"/>
      <c r="K366" s="17" t="n"/>
      <c r="L366" s="17" t="n"/>
      <c r="M366" s="17" t="n"/>
      <c r="N366" s="17" t="n"/>
      <c r="O366" s="17" t="n"/>
    </row>
    <row r="367">
      <c r="A367" s="23" t="n"/>
      <c r="B367" s="17" t="n"/>
      <c r="C367" s="17" t="n"/>
      <c r="D367" s="17" t="n"/>
      <c r="E367" s="17" t="n"/>
      <c r="F367" s="17" t="n"/>
      <c r="G367" s="24">
        <f>IF(F367="","",IFERROR(INDEX(Plan!$C:$C,MATCH(F367,Plan!$A:$A,0)),"unknown ID"))</f>
        <v/>
      </c>
      <c r="H367" s="24">
        <f>IF(F367="","",IFERROR(INDEX(Plan!$D:$D,MATCH(F367,Plan!$A:$A,0)),""))</f>
        <v/>
      </c>
      <c r="I367" s="17" t="n"/>
      <c r="J367" s="17" t="n"/>
      <c r="K367" s="17" t="n"/>
      <c r="L367" s="17" t="n"/>
      <c r="M367" s="17" t="n"/>
      <c r="N367" s="17" t="n"/>
      <c r="O367" s="17" t="n"/>
    </row>
    <row r="368">
      <c r="A368" s="23" t="n"/>
      <c r="B368" s="17" t="n"/>
      <c r="C368" s="17" t="n"/>
      <c r="D368" s="17" t="n"/>
      <c r="E368" s="17" t="n"/>
      <c r="F368" s="17" t="n"/>
      <c r="G368" s="24">
        <f>IF(F368="","",IFERROR(INDEX(Plan!$C:$C,MATCH(F368,Plan!$A:$A,0)),"unknown ID"))</f>
        <v/>
      </c>
      <c r="H368" s="24">
        <f>IF(F368="","",IFERROR(INDEX(Plan!$D:$D,MATCH(F368,Plan!$A:$A,0)),""))</f>
        <v/>
      </c>
      <c r="I368" s="17" t="n"/>
      <c r="J368" s="17" t="n"/>
      <c r="K368" s="17" t="n"/>
      <c r="L368" s="17" t="n"/>
      <c r="M368" s="17" t="n"/>
      <c r="N368" s="17" t="n"/>
      <c r="O368" s="17" t="n"/>
    </row>
    <row r="369">
      <c r="A369" s="23" t="n"/>
      <c r="B369" s="17" t="n"/>
      <c r="C369" s="17" t="n"/>
      <c r="D369" s="17" t="n"/>
      <c r="E369" s="17" t="n"/>
      <c r="F369" s="17" t="n"/>
      <c r="G369" s="24">
        <f>IF(F369="","",IFERROR(INDEX(Plan!$C:$C,MATCH(F369,Plan!$A:$A,0)),"unknown ID"))</f>
        <v/>
      </c>
      <c r="H369" s="24">
        <f>IF(F369="","",IFERROR(INDEX(Plan!$D:$D,MATCH(F369,Plan!$A:$A,0)),""))</f>
        <v/>
      </c>
      <c r="I369" s="17" t="n"/>
      <c r="J369" s="17" t="n"/>
      <c r="K369" s="17" t="n"/>
      <c r="L369" s="17" t="n"/>
      <c r="M369" s="17" t="n"/>
      <c r="N369" s="17" t="n"/>
      <c r="O369" s="17" t="n"/>
    </row>
    <row r="370">
      <c r="A370" s="23" t="n"/>
      <c r="B370" s="17" t="n"/>
      <c r="C370" s="17" t="n"/>
      <c r="D370" s="17" t="n"/>
      <c r="E370" s="17" t="n"/>
      <c r="F370" s="17" t="n"/>
      <c r="G370" s="24">
        <f>IF(F370="","",IFERROR(INDEX(Plan!$C:$C,MATCH(F370,Plan!$A:$A,0)),"unknown ID"))</f>
        <v/>
      </c>
      <c r="H370" s="24">
        <f>IF(F370="","",IFERROR(INDEX(Plan!$D:$D,MATCH(F370,Plan!$A:$A,0)),""))</f>
        <v/>
      </c>
      <c r="I370" s="17" t="n"/>
      <c r="J370" s="17" t="n"/>
      <c r="K370" s="17" t="n"/>
      <c r="L370" s="17" t="n"/>
      <c r="M370" s="17" t="n"/>
      <c r="N370" s="17" t="n"/>
      <c r="O370" s="17" t="n"/>
    </row>
    <row r="371">
      <c r="A371" s="23" t="n"/>
      <c r="B371" s="17" t="n"/>
      <c r="C371" s="17" t="n"/>
      <c r="D371" s="17" t="n"/>
      <c r="E371" s="17" t="n"/>
      <c r="F371" s="17" t="n"/>
      <c r="G371" s="24">
        <f>IF(F371="","",IFERROR(INDEX(Plan!$C:$C,MATCH(F371,Plan!$A:$A,0)),"unknown ID"))</f>
        <v/>
      </c>
      <c r="H371" s="24">
        <f>IF(F371="","",IFERROR(INDEX(Plan!$D:$D,MATCH(F371,Plan!$A:$A,0)),""))</f>
        <v/>
      </c>
      <c r="I371" s="17" t="n"/>
      <c r="J371" s="17" t="n"/>
      <c r="K371" s="17" t="n"/>
      <c r="L371" s="17" t="n"/>
      <c r="M371" s="17" t="n"/>
      <c r="N371" s="17" t="n"/>
      <c r="O371" s="17" t="n"/>
    </row>
    <row r="372">
      <c r="A372" s="23" t="n"/>
      <c r="B372" s="17" t="n"/>
      <c r="C372" s="17" t="n"/>
      <c r="D372" s="17" t="n"/>
      <c r="E372" s="17" t="n"/>
      <c r="F372" s="17" t="n"/>
      <c r="G372" s="24">
        <f>IF(F372="","",IFERROR(INDEX(Plan!$C:$C,MATCH(F372,Plan!$A:$A,0)),"unknown ID"))</f>
        <v/>
      </c>
      <c r="H372" s="24">
        <f>IF(F372="","",IFERROR(INDEX(Plan!$D:$D,MATCH(F372,Plan!$A:$A,0)),""))</f>
        <v/>
      </c>
      <c r="I372" s="17" t="n"/>
      <c r="J372" s="17" t="n"/>
      <c r="K372" s="17" t="n"/>
      <c r="L372" s="17" t="n"/>
      <c r="M372" s="17" t="n"/>
      <c r="N372" s="17" t="n"/>
      <c r="O372" s="17" t="n"/>
    </row>
    <row r="373">
      <c r="A373" s="23" t="n"/>
      <c r="B373" s="17" t="n"/>
      <c r="C373" s="17" t="n"/>
      <c r="D373" s="17" t="n"/>
      <c r="E373" s="17" t="n"/>
      <c r="F373" s="17" t="n"/>
      <c r="G373" s="24">
        <f>IF(F373="","",IFERROR(INDEX(Plan!$C:$C,MATCH(F373,Plan!$A:$A,0)),"unknown ID"))</f>
        <v/>
      </c>
      <c r="H373" s="24">
        <f>IF(F373="","",IFERROR(INDEX(Plan!$D:$D,MATCH(F373,Plan!$A:$A,0)),""))</f>
        <v/>
      </c>
      <c r="I373" s="17" t="n"/>
      <c r="J373" s="17" t="n"/>
      <c r="K373" s="17" t="n"/>
      <c r="L373" s="17" t="n"/>
      <c r="M373" s="17" t="n"/>
      <c r="N373" s="17" t="n"/>
      <c r="O373" s="17" t="n"/>
    </row>
    <row r="374">
      <c r="A374" s="23" t="n"/>
      <c r="B374" s="17" t="n"/>
      <c r="C374" s="17" t="n"/>
      <c r="D374" s="17" t="n"/>
      <c r="E374" s="17" t="n"/>
      <c r="F374" s="17" t="n"/>
      <c r="G374" s="24">
        <f>IF(F374="","",IFERROR(INDEX(Plan!$C:$C,MATCH(F374,Plan!$A:$A,0)),"unknown ID"))</f>
        <v/>
      </c>
      <c r="H374" s="24">
        <f>IF(F374="","",IFERROR(INDEX(Plan!$D:$D,MATCH(F374,Plan!$A:$A,0)),""))</f>
        <v/>
      </c>
      <c r="I374" s="17" t="n"/>
      <c r="J374" s="17" t="n"/>
      <c r="K374" s="17" t="n"/>
      <c r="L374" s="17" t="n"/>
      <c r="M374" s="17" t="n"/>
      <c r="N374" s="17" t="n"/>
      <c r="O374" s="17" t="n"/>
    </row>
    <row r="375">
      <c r="A375" s="23" t="n"/>
      <c r="B375" s="17" t="n"/>
      <c r="C375" s="17" t="n"/>
      <c r="D375" s="17" t="n"/>
      <c r="E375" s="17" t="n"/>
      <c r="F375" s="17" t="n"/>
      <c r="G375" s="24">
        <f>IF(F375="","",IFERROR(INDEX(Plan!$C:$C,MATCH(F375,Plan!$A:$A,0)),"unknown ID"))</f>
        <v/>
      </c>
      <c r="H375" s="24">
        <f>IF(F375="","",IFERROR(INDEX(Plan!$D:$D,MATCH(F375,Plan!$A:$A,0)),""))</f>
        <v/>
      </c>
      <c r="I375" s="17" t="n"/>
      <c r="J375" s="17" t="n"/>
      <c r="K375" s="17" t="n"/>
      <c r="L375" s="17" t="n"/>
      <c r="M375" s="17" t="n"/>
      <c r="N375" s="17" t="n"/>
      <c r="O375" s="17" t="n"/>
    </row>
    <row r="376">
      <c r="A376" s="23" t="n"/>
      <c r="B376" s="17" t="n"/>
      <c r="C376" s="17" t="n"/>
      <c r="D376" s="17" t="n"/>
      <c r="E376" s="17" t="n"/>
      <c r="F376" s="17" t="n"/>
      <c r="G376" s="24">
        <f>IF(F376="","",IFERROR(INDEX(Plan!$C:$C,MATCH(F376,Plan!$A:$A,0)),"unknown ID"))</f>
        <v/>
      </c>
      <c r="H376" s="24">
        <f>IF(F376="","",IFERROR(INDEX(Plan!$D:$D,MATCH(F376,Plan!$A:$A,0)),""))</f>
        <v/>
      </c>
      <c r="I376" s="17" t="n"/>
      <c r="J376" s="17" t="n"/>
      <c r="K376" s="17" t="n"/>
      <c r="L376" s="17" t="n"/>
      <c r="M376" s="17" t="n"/>
      <c r="N376" s="17" t="n"/>
      <c r="O376" s="17" t="n"/>
    </row>
    <row r="377">
      <c r="A377" s="23" t="n"/>
      <c r="B377" s="17" t="n"/>
      <c r="C377" s="17" t="n"/>
      <c r="D377" s="17" t="n"/>
      <c r="E377" s="17" t="n"/>
      <c r="F377" s="17" t="n"/>
      <c r="G377" s="24">
        <f>IF(F377="","",IFERROR(INDEX(Plan!$C:$C,MATCH(F377,Plan!$A:$A,0)),"unknown ID"))</f>
        <v/>
      </c>
      <c r="H377" s="24">
        <f>IF(F377="","",IFERROR(INDEX(Plan!$D:$D,MATCH(F377,Plan!$A:$A,0)),""))</f>
        <v/>
      </c>
      <c r="I377" s="17" t="n"/>
      <c r="J377" s="17" t="n"/>
      <c r="K377" s="17" t="n"/>
      <c r="L377" s="17" t="n"/>
      <c r="M377" s="17" t="n"/>
      <c r="N377" s="17" t="n"/>
      <c r="O377" s="17" t="n"/>
    </row>
    <row r="378">
      <c r="A378" s="23" t="n"/>
      <c r="B378" s="17" t="n"/>
      <c r="C378" s="17" t="n"/>
      <c r="D378" s="17" t="n"/>
      <c r="E378" s="17" t="n"/>
      <c r="F378" s="17" t="n"/>
      <c r="G378" s="24">
        <f>IF(F378="","",IFERROR(INDEX(Plan!$C:$C,MATCH(F378,Plan!$A:$A,0)),"unknown ID"))</f>
        <v/>
      </c>
      <c r="H378" s="24">
        <f>IF(F378="","",IFERROR(INDEX(Plan!$D:$D,MATCH(F378,Plan!$A:$A,0)),""))</f>
        <v/>
      </c>
      <c r="I378" s="17" t="n"/>
      <c r="J378" s="17" t="n"/>
      <c r="K378" s="17" t="n"/>
      <c r="L378" s="17" t="n"/>
      <c r="M378" s="17" t="n"/>
      <c r="N378" s="17" t="n"/>
      <c r="O378" s="17" t="n"/>
    </row>
    <row r="379">
      <c r="A379" s="23" t="n"/>
      <c r="B379" s="17" t="n"/>
      <c r="C379" s="17" t="n"/>
      <c r="D379" s="17" t="n"/>
      <c r="E379" s="17" t="n"/>
      <c r="F379" s="17" t="n"/>
      <c r="G379" s="24">
        <f>IF(F379="","",IFERROR(INDEX(Plan!$C:$C,MATCH(F379,Plan!$A:$A,0)),"unknown ID"))</f>
        <v/>
      </c>
      <c r="H379" s="24">
        <f>IF(F379="","",IFERROR(INDEX(Plan!$D:$D,MATCH(F379,Plan!$A:$A,0)),""))</f>
        <v/>
      </c>
      <c r="I379" s="17" t="n"/>
      <c r="J379" s="17" t="n"/>
      <c r="K379" s="17" t="n"/>
      <c r="L379" s="17" t="n"/>
      <c r="M379" s="17" t="n"/>
      <c r="N379" s="17" t="n"/>
      <c r="O379" s="17" t="n"/>
    </row>
    <row r="380">
      <c r="A380" s="23" t="n"/>
      <c r="B380" s="17" t="n"/>
      <c r="C380" s="17" t="n"/>
      <c r="D380" s="17" t="n"/>
      <c r="E380" s="17" t="n"/>
      <c r="F380" s="17" t="n"/>
      <c r="G380" s="24">
        <f>IF(F380="","",IFERROR(INDEX(Plan!$C:$C,MATCH(F380,Plan!$A:$A,0)),"unknown ID"))</f>
        <v/>
      </c>
      <c r="H380" s="24">
        <f>IF(F380="","",IFERROR(INDEX(Plan!$D:$D,MATCH(F380,Plan!$A:$A,0)),""))</f>
        <v/>
      </c>
      <c r="I380" s="17" t="n"/>
      <c r="J380" s="17" t="n"/>
      <c r="K380" s="17" t="n"/>
      <c r="L380" s="17" t="n"/>
      <c r="M380" s="17" t="n"/>
      <c r="N380" s="17" t="n"/>
      <c r="O380" s="17" t="n"/>
    </row>
    <row r="381">
      <c r="A381" s="23" t="n"/>
      <c r="B381" s="17" t="n"/>
      <c r="C381" s="17" t="n"/>
      <c r="D381" s="17" t="n"/>
      <c r="E381" s="17" t="n"/>
      <c r="F381" s="17" t="n"/>
      <c r="G381" s="24">
        <f>IF(F381="","",IFERROR(INDEX(Plan!$C:$C,MATCH(F381,Plan!$A:$A,0)),"unknown ID"))</f>
        <v/>
      </c>
      <c r="H381" s="24">
        <f>IF(F381="","",IFERROR(INDEX(Plan!$D:$D,MATCH(F381,Plan!$A:$A,0)),""))</f>
        <v/>
      </c>
      <c r="I381" s="17" t="n"/>
      <c r="J381" s="17" t="n"/>
      <c r="K381" s="17" t="n"/>
      <c r="L381" s="17" t="n"/>
      <c r="M381" s="17" t="n"/>
      <c r="N381" s="17" t="n"/>
      <c r="O381" s="17" t="n"/>
    </row>
    <row r="382">
      <c r="A382" s="23" t="n"/>
      <c r="B382" s="17" t="n"/>
      <c r="C382" s="17" t="n"/>
      <c r="D382" s="17" t="n"/>
      <c r="E382" s="17" t="n"/>
      <c r="F382" s="17" t="n"/>
      <c r="G382" s="24">
        <f>IF(F382="","",IFERROR(INDEX(Plan!$C:$C,MATCH(F382,Plan!$A:$A,0)),"unknown ID"))</f>
        <v/>
      </c>
      <c r="H382" s="24">
        <f>IF(F382="","",IFERROR(INDEX(Plan!$D:$D,MATCH(F382,Plan!$A:$A,0)),""))</f>
        <v/>
      </c>
      <c r="I382" s="17" t="n"/>
      <c r="J382" s="17" t="n"/>
      <c r="K382" s="17" t="n"/>
      <c r="L382" s="17" t="n"/>
      <c r="M382" s="17" t="n"/>
      <c r="N382" s="17" t="n"/>
      <c r="O382" s="17" t="n"/>
    </row>
    <row r="383">
      <c r="A383" s="23" t="n"/>
      <c r="B383" s="17" t="n"/>
      <c r="C383" s="17" t="n"/>
      <c r="D383" s="17" t="n"/>
      <c r="E383" s="17" t="n"/>
      <c r="F383" s="17" t="n"/>
      <c r="G383" s="24">
        <f>IF(F383="","",IFERROR(INDEX(Plan!$C:$C,MATCH(F383,Plan!$A:$A,0)),"unknown ID"))</f>
        <v/>
      </c>
      <c r="H383" s="24">
        <f>IF(F383="","",IFERROR(INDEX(Plan!$D:$D,MATCH(F383,Plan!$A:$A,0)),""))</f>
        <v/>
      </c>
      <c r="I383" s="17" t="n"/>
      <c r="J383" s="17" t="n"/>
      <c r="K383" s="17" t="n"/>
      <c r="L383" s="17" t="n"/>
      <c r="M383" s="17" t="n"/>
      <c r="N383" s="17" t="n"/>
      <c r="O383" s="17" t="n"/>
    </row>
    <row r="384">
      <c r="A384" s="23" t="n"/>
      <c r="B384" s="17" t="n"/>
      <c r="C384" s="17" t="n"/>
      <c r="D384" s="17" t="n"/>
      <c r="E384" s="17" t="n"/>
      <c r="F384" s="17" t="n"/>
      <c r="G384" s="24">
        <f>IF(F384="","",IFERROR(INDEX(Plan!$C:$C,MATCH(F384,Plan!$A:$A,0)),"unknown ID"))</f>
        <v/>
      </c>
      <c r="H384" s="24">
        <f>IF(F384="","",IFERROR(INDEX(Plan!$D:$D,MATCH(F384,Plan!$A:$A,0)),""))</f>
        <v/>
      </c>
      <c r="I384" s="17" t="n"/>
      <c r="J384" s="17" t="n"/>
      <c r="K384" s="17" t="n"/>
      <c r="L384" s="17" t="n"/>
      <c r="M384" s="17" t="n"/>
      <c r="N384" s="17" t="n"/>
      <c r="O384" s="17" t="n"/>
    </row>
    <row r="385">
      <c r="A385" s="23" t="n"/>
      <c r="B385" s="17" t="n"/>
      <c r="C385" s="17" t="n"/>
      <c r="D385" s="17" t="n"/>
      <c r="E385" s="17" t="n"/>
      <c r="F385" s="17" t="n"/>
      <c r="G385" s="24">
        <f>IF(F385="","",IFERROR(INDEX(Plan!$C:$C,MATCH(F385,Plan!$A:$A,0)),"unknown ID"))</f>
        <v/>
      </c>
      <c r="H385" s="24">
        <f>IF(F385="","",IFERROR(INDEX(Plan!$D:$D,MATCH(F385,Plan!$A:$A,0)),""))</f>
        <v/>
      </c>
      <c r="I385" s="17" t="n"/>
      <c r="J385" s="17" t="n"/>
      <c r="K385" s="17" t="n"/>
      <c r="L385" s="17" t="n"/>
      <c r="M385" s="17" t="n"/>
      <c r="N385" s="17" t="n"/>
      <c r="O385" s="17" t="n"/>
    </row>
    <row r="386">
      <c r="A386" s="23" t="n"/>
      <c r="B386" s="17" t="n"/>
      <c r="C386" s="17" t="n"/>
      <c r="D386" s="17" t="n"/>
      <c r="E386" s="17" t="n"/>
      <c r="F386" s="17" t="n"/>
      <c r="G386" s="24">
        <f>IF(F386="","",IFERROR(INDEX(Plan!$C:$C,MATCH(F386,Plan!$A:$A,0)),"unknown ID"))</f>
        <v/>
      </c>
      <c r="H386" s="24">
        <f>IF(F386="","",IFERROR(INDEX(Plan!$D:$D,MATCH(F386,Plan!$A:$A,0)),""))</f>
        <v/>
      </c>
      <c r="I386" s="17" t="n"/>
      <c r="J386" s="17" t="n"/>
      <c r="K386" s="17" t="n"/>
      <c r="L386" s="17" t="n"/>
      <c r="M386" s="17" t="n"/>
      <c r="N386" s="17" t="n"/>
      <c r="O386" s="17" t="n"/>
    </row>
    <row r="387">
      <c r="A387" s="23" t="n"/>
      <c r="B387" s="17" t="n"/>
      <c r="C387" s="17" t="n"/>
      <c r="D387" s="17" t="n"/>
      <c r="E387" s="17" t="n"/>
      <c r="F387" s="17" t="n"/>
      <c r="G387" s="24">
        <f>IF(F387="","",IFERROR(INDEX(Plan!$C:$C,MATCH(F387,Plan!$A:$A,0)),"unknown ID"))</f>
        <v/>
      </c>
      <c r="H387" s="24">
        <f>IF(F387="","",IFERROR(INDEX(Plan!$D:$D,MATCH(F387,Plan!$A:$A,0)),""))</f>
        <v/>
      </c>
      <c r="I387" s="17" t="n"/>
      <c r="J387" s="17" t="n"/>
      <c r="K387" s="17" t="n"/>
      <c r="L387" s="17" t="n"/>
      <c r="M387" s="17" t="n"/>
      <c r="N387" s="17" t="n"/>
      <c r="O387" s="17" t="n"/>
    </row>
    <row r="388">
      <c r="A388" s="23" t="n"/>
      <c r="B388" s="17" t="n"/>
      <c r="C388" s="17" t="n"/>
      <c r="D388" s="17" t="n"/>
      <c r="E388" s="17" t="n"/>
      <c r="F388" s="17" t="n"/>
      <c r="G388" s="24">
        <f>IF(F388="","",IFERROR(INDEX(Plan!$C:$C,MATCH(F388,Plan!$A:$A,0)),"unknown ID"))</f>
        <v/>
      </c>
      <c r="H388" s="24">
        <f>IF(F388="","",IFERROR(INDEX(Plan!$D:$D,MATCH(F388,Plan!$A:$A,0)),""))</f>
        <v/>
      </c>
      <c r="I388" s="17" t="n"/>
      <c r="J388" s="17" t="n"/>
      <c r="K388" s="17" t="n"/>
      <c r="L388" s="17" t="n"/>
      <c r="M388" s="17" t="n"/>
      <c r="N388" s="17" t="n"/>
      <c r="O388" s="17" t="n"/>
    </row>
    <row r="389">
      <c r="A389" s="23" t="n"/>
      <c r="B389" s="17" t="n"/>
      <c r="C389" s="17" t="n"/>
      <c r="D389" s="17" t="n"/>
      <c r="E389" s="17" t="n"/>
      <c r="F389" s="17" t="n"/>
      <c r="G389" s="24">
        <f>IF(F389="","",IFERROR(INDEX(Plan!$C:$C,MATCH(F389,Plan!$A:$A,0)),"unknown ID"))</f>
        <v/>
      </c>
      <c r="H389" s="24">
        <f>IF(F389="","",IFERROR(INDEX(Plan!$D:$D,MATCH(F389,Plan!$A:$A,0)),""))</f>
        <v/>
      </c>
      <c r="I389" s="17" t="n"/>
      <c r="J389" s="17" t="n"/>
      <c r="K389" s="17" t="n"/>
      <c r="L389" s="17" t="n"/>
      <c r="M389" s="17" t="n"/>
      <c r="N389" s="17" t="n"/>
      <c r="O389" s="17" t="n"/>
    </row>
    <row r="390">
      <c r="A390" s="23" t="n"/>
      <c r="B390" s="17" t="n"/>
      <c r="C390" s="17" t="n"/>
      <c r="D390" s="17" t="n"/>
      <c r="E390" s="17" t="n"/>
      <c r="F390" s="17" t="n"/>
      <c r="G390" s="24">
        <f>IF(F390="","",IFERROR(INDEX(Plan!$C:$C,MATCH(F390,Plan!$A:$A,0)),"unknown ID"))</f>
        <v/>
      </c>
      <c r="H390" s="24">
        <f>IF(F390="","",IFERROR(INDEX(Plan!$D:$D,MATCH(F390,Plan!$A:$A,0)),""))</f>
        <v/>
      </c>
      <c r="I390" s="17" t="n"/>
      <c r="J390" s="17" t="n"/>
      <c r="K390" s="17" t="n"/>
      <c r="L390" s="17" t="n"/>
      <c r="M390" s="17" t="n"/>
      <c r="N390" s="17" t="n"/>
      <c r="O390" s="17" t="n"/>
    </row>
    <row r="391">
      <c r="A391" s="23" t="n"/>
      <c r="B391" s="17" t="n"/>
      <c r="C391" s="17" t="n"/>
      <c r="D391" s="17" t="n"/>
      <c r="E391" s="17" t="n"/>
      <c r="F391" s="17" t="n"/>
      <c r="G391" s="24">
        <f>IF(F391="","",IFERROR(INDEX(Plan!$C:$C,MATCH(F391,Plan!$A:$A,0)),"unknown ID"))</f>
        <v/>
      </c>
      <c r="H391" s="24">
        <f>IF(F391="","",IFERROR(INDEX(Plan!$D:$D,MATCH(F391,Plan!$A:$A,0)),""))</f>
        <v/>
      </c>
      <c r="I391" s="17" t="n"/>
      <c r="J391" s="17" t="n"/>
      <c r="K391" s="17" t="n"/>
      <c r="L391" s="17" t="n"/>
      <c r="M391" s="17" t="n"/>
      <c r="N391" s="17" t="n"/>
      <c r="O391" s="17" t="n"/>
    </row>
    <row r="392">
      <c r="A392" s="23" t="n"/>
      <c r="B392" s="17" t="n"/>
      <c r="C392" s="17" t="n"/>
      <c r="D392" s="17" t="n"/>
      <c r="E392" s="17" t="n"/>
      <c r="F392" s="17" t="n"/>
      <c r="G392" s="24">
        <f>IF(F392="","",IFERROR(INDEX(Plan!$C:$C,MATCH(F392,Plan!$A:$A,0)),"unknown ID"))</f>
        <v/>
      </c>
      <c r="H392" s="24">
        <f>IF(F392="","",IFERROR(INDEX(Plan!$D:$D,MATCH(F392,Plan!$A:$A,0)),""))</f>
        <v/>
      </c>
      <c r="I392" s="17" t="n"/>
      <c r="J392" s="17" t="n"/>
      <c r="K392" s="17" t="n"/>
      <c r="L392" s="17" t="n"/>
      <c r="M392" s="17" t="n"/>
      <c r="N392" s="17" t="n"/>
      <c r="O392" s="17" t="n"/>
    </row>
    <row r="393">
      <c r="A393" s="23" t="n"/>
      <c r="B393" s="17" t="n"/>
      <c r="C393" s="17" t="n"/>
      <c r="D393" s="17" t="n"/>
      <c r="E393" s="17" t="n"/>
      <c r="F393" s="17" t="n"/>
      <c r="G393" s="24">
        <f>IF(F393="","",IFERROR(INDEX(Plan!$C:$C,MATCH(F393,Plan!$A:$A,0)),"unknown ID"))</f>
        <v/>
      </c>
      <c r="H393" s="24">
        <f>IF(F393="","",IFERROR(INDEX(Plan!$D:$D,MATCH(F393,Plan!$A:$A,0)),""))</f>
        <v/>
      </c>
      <c r="I393" s="17" t="n"/>
      <c r="J393" s="17" t="n"/>
      <c r="K393" s="17" t="n"/>
      <c r="L393" s="17" t="n"/>
      <c r="M393" s="17" t="n"/>
      <c r="N393" s="17" t="n"/>
      <c r="O393" s="17" t="n"/>
    </row>
    <row r="394">
      <c r="A394" s="23" t="n"/>
      <c r="B394" s="17" t="n"/>
      <c r="C394" s="17" t="n"/>
      <c r="D394" s="17" t="n"/>
      <c r="E394" s="17" t="n"/>
      <c r="F394" s="17" t="n"/>
      <c r="G394" s="24">
        <f>IF(F394="","",IFERROR(INDEX(Plan!$C:$C,MATCH(F394,Plan!$A:$A,0)),"unknown ID"))</f>
        <v/>
      </c>
      <c r="H394" s="24">
        <f>IF(F394="","",IFERROR(INDEX(Plan!$D:$D,MATCH(F394,Plan!$A:$A,0)),""))</f>
        <v/>
      </c>
      <c r="I394" s="17" t="n"/>
      <c r="J394" s="17" t="n"/>
      <c r="K394" s="17" t="n"/>
      <c r="L394" s="17" t="n"/>
      <c r="M394" s="17" t="n"/>
      <c r="N394" s="17" t="n"/>
      <c r="O394" s="17" t="n"/>
    </row>
    <row r="395">
      <c r="A395" s="23" t="n"/>
      <c r="B395" s="17" t="n"/>
      <c r="C395" s="17" t="n"/>
      <c r="D395" s="17" t="n"/>
      <c r="E395" s="17" t="n"/>
      <c r="F395" s="17" t="n"/>
      <c r="G395" s="24">
        <f>IF(F395="","",IFERROR(INDEX(Plan!$C:$C,MATCH(F395,Plan!$A:$A,0)),"unknown ID"))</f>
        <v/>
      </c>
      <c r="H395" s="24">
        <f>IF(F395="","",IFERROR(INDEX(Plan!$D:$D,MATCH(F395,Plan!$A:$A,0)),""))</f>
        <v/>
      </c>
      <c r="I395" s="17" t="n"/>
      <c r="J395" s="17" t="n"/>
      <c r="K395" s="17" t="n"/>
      <c r="L395" s="17" t="n"/>
      <c r="M395" s="17" t="n"/>
      <c r="N395" s="17" t="n"/>
      <c r="O395" s="17" t="n"/>
    </row>
    <row r="396">
      <c r="A396" s="23" t="n"/>
      <c r="B396" s="17" t="n"/>
      <c r="C396" s="17" t="n"/>
      <c r="D396" s="17" t="n"/>
      <c r="E396" s="17" t="n"/>
      <c r="F396" s="17" t="n"/>
      <c r="G396" s="24">
        <f>IF(F396="","",IFERROR(INDEX(Plan!$C:$C,MATCH(F396,Plan!$A:$A,0)),"unknown ID"))</f>
        <v/>
      </c>
      <c r="H396" s="24">
        <f>IF(F396="","",IFERROR(INDEX(Plan!$D:$D,MATCH(F396,Plan!$A:$A,0)),""))</f>
        <v/>
      </c>
      <c r="I396" s="17" t="n"/>
      <c r="J396" s="17" t="n"/>
      <c r="K396" s="17" t="n"/>
      <c r="L396" s="17" t="n"/>
      <c r="M396" s="17" t="n"/>
      <c r="N396" s="17" t="n"/>
      <c r="O396" s="17" t="n"/>
    </row>
    <row r="397">
      <c r="A397" s="23" t="n"/>
      <c r="B397" s="17" t="n"/>
      <c r="C397" s="17" t="n"/>
      <c r="D397" s="17" t="n"/>
      <c r="E397" s="17" t="n"/>
      <c r="F397" s="17" t="n"/>
      <c r="G397" s="24">
        <f>IF(F397="","",IFERROR(INDEX(Plan!$C:$C,MATCH(F397,Plan!$A:$A,0)),"unknown ID"))</f>
        <v/>
      </c>
      <c r="H397" s="24">
        <f>IF(F397="","",IFERROR(INDEX(Plan!$D:$D,MATCH(F397,Plan!$A:$A,0)),""))</f>
        <v/>
      </c>
      <c r="I397" s="17" t="n"/>
      <c r="J397" s="17" t="n"/>
      <c r="K397" s="17" t="n"/>
      <c r="L397" s="17" t="n"/>
      <c r="M397" s="17" t="n"/>
      <c r="N397" s="17" t="n"/>
      <c r="O397" s="17" t="n"/>
    </row>
    <row r="398">
      <c r="A398" s="23" t="n"/>
      <c r="B398" s="17" t="n"/>
      <c r="C398" s="17" t="n"/>
      <c r="D398" s="17" t="n"/>
      <c r="E398" s="17" t="n"/>
      <c r="F398" s="17" t="n"/>
      <c r="G398" s="24">
        <f>IF(F398="","",IFERROR(INDEX(Plan!$C:$C,MATCH(F398,Plan!$A:$A,0)),"unknown ID"))</f>
        <v/>
      </c>
      <c r="H398" s="24">
        <f>IF(F398="","",IFERROR(INDEX(Plan!$D:$D,MATCH(F398,Plan!$A:$A,0)),""))</f>
        <v/>
      </c>
      <c r="I398" s="17" t="n"/>
      <c r="J398" s="17" t="n"/>
      <c r="K398" s="17" t="n"/>
      <c r="L398" s="17" t="n"/>
      <c r="M398" s="17" t="n"/>
      <c r="N398" s="17" t="n"/>
      <c r="O398" s="17" t="n"/>
    </row>
    <row r="399">
      <c r="A399" s="23" t="n"/>
      <c r="B399" s="17" t="n"/>
      <c r="C399" s="17" t="n"/>
      <c r="D399" s="17" t="n"/>
      <c r="E399" s="17" t="n"/>
      <c r="F399" s="17" t="n"/>
      <c r="G399" s="24">
        <f>IF(F399="","",IFERROR(INDEX(Plan!$C:$C,MATCH(F399,Plan!$A:$A,0)),"unknown ID"))</f>
        <v/>
      </c>
      <c r="H399" s="24">
        <f>IF(F399="","",IFERROR(INDEX(Plan!$D:$D,MATCH(F399,Plan!$A:$A,0)),""))</f>
        <v/>
      </c>
      <c r="I399" s="17" t="n"/>
      <c r="J399" s="17" t="n"/>
      <c r="K399" s="17" t="n"/>
      <c r="L399" s="17" t="n"/>
      <c r="M399" s="17" t="n"/>
      <c r="N399" s="17" t="n"/>
      <c r="O399" s="17" t="n"/>
    </row>
    <row r="400">
      <c r="A400" s="23" t="n"/>
      <c r="B400" s="17" t="n"/>
      <c r="C400" s="17" t="n"/>
      <c r="D400" s="17" t="n"/>
      <c r="E400" s="17" t="n"/>
      <c r="F400" s="17" t="n"/>
      <c r="G400" s="24">
        <f>IF(F400="","",IFERROR(INDEX(Plan!$C:$C,MATCH(F400,Plan!$A:$A,0)),"unknown ID"))</f>
        <v/>
      </c>
      <c r="H400" s="24">
        <f>IF(F400="","",IFERROR(INDEX(Plan!$D:$D,MATCH(F400,Plan!$A:$A,0)),""))</f>
        <v/>
      </c>
      <c r="I400" s="17" t="n"/>
      <c r="J400" s="17" t="n"/>
      <c r="K400" s="17" t="n"/>
      <c r="L400" s="17" t="n"/>
      <c r="M400" s="17" t="n"/>
      <c r="N400" s="17" t="n"/>
      <c r="O400" s="17" t="n"/>
    </row>
    <row r="401">
      <c r="A401" s="23" t="n"/>
      <c r="B401" s="17" t="n"/>
      <c r="C401" s="17" t="n"/>
      <c r="D401" s="17" t="n"/>
      <c r="E401" s="17" t="n"/>
      <c r="F401" s="17" t="n"/>
      <c r="G401" s="24">
        <f>IF(F401="","",IFERROR(INDEX(Plan!$C:$C,MATCH(F401,Plan!$A:$A,0)),"unknown ID"))</f>
        <v/>
      </c>
      <c r="H401" s="24">
        <f>IF(F401="","",IFERROR(INDEX(Plan!$D:$D,MATCH(F401,Plan!$A:$A,0)),""))</f>
        <v/>
      </c>
      <c r="I401" s="17" t="n"/>
      <c r="J401" s="17" t="n"/>
      <c r="K401" s="17" t="n"/>
      <c r="L401" s="17" t="n"/>
      <c r="M401" s="17" t="n"/>
      <c r="N401" s="17" t="n"/>
      <c r="O401" s="17" t="n"/>
    </row>
    <row r="402">
      <c r="A402" s="23" t="n"/>
      <c r="B402" s="17" t="n"/>
      <c r="C402" s="17" t="n"/>
      <c r="D402" s="17" t="n"/>
      <c r="E402" s="17" t="n"/>
      <c r="F402" s="17" t="n"/>
      <c r="G402" s="24">
        <f>IF(F402="","",IFERROR(INDEX(Plan!$C:$C,MATCH(F402,Plan!$A:$A,0)),"unknown ID"))</f>
        <v/>
      </c>
      <c r="H402" s="24">
        <f>IF(F402="","",IFERROR(INDEX(Plan!$D:$D,MATCH(F402,Plan!$A:$A,0)),""))</f>
        <v/>
      </c>
      <c r="I402" s="17" t="n"/>
      <c r="J402" s="17" t="n"/>
      <c r="K402" s="17" t="n"/>
      <c r="L402" s="17" t="n"/>
      <c r="M402" s="17" t="n"/>
      <c r="N402" s="17" t="n"/>
      <c r="O402" s="17" t="n"/>
    </row>
    <row r="403">
      <c r="A403" s="23" t="n"/>
      <c r="B403" s="17" t="n"/>
      <c r="C403" s="17" t="n"/>
      <c r="D403" s="17" t="n"/>
      <c r="E403" s="17" t="n"/>
      <c r="F403" s="17" t="n"/>
      <c r="G403" s="24">
        <f>IF(F403="","",IFERROR(INDEX(Plan!$C:$C,MATCH(F403,Plan!$A:$A,0)),"unknown ID"))</f>
        <v/>
      </c>
      <c r="H403" s="24">
        <f>IF(F403="","",IFERROR(INDEX(Plan!$D:$D,MATCH(F403,Plan!$A:$A,0)),""))</f>
        <v/>
      </c>
      <c r="I403" s="17" t="n"/>
      <c r="J403" s="17" t="n"/>
      <c r="K403" s="17" t="n"/>
      <c r="L403" s="17" t="n"/>
      <c r="M403" s="17" t="n"/>
      <c r="N403" s="17" t="n"/>
      <c r="O403" s="17" t="n"/>
    </row>
    <row r="404">
      <c r="A404" s="23" t="n"/>
      <c r="B404" s="17" t="n"/>
      <c r="C404" s="17" t="n"/>
      <c r="D404" s="17" t="n"/>
      <c r="E404" s="17" t="n"/>
      <c r="F404" s="17" t="n"/>
      <c r="G404" s="24">
        <f>IF(F404="","",IFERROR(INDEX(Plan!$C:$C,MATCH(F404,Plan!$A:$A,0)),"unknown ID"))</f>
        <v/>
      </c>
      <c r="H404" s="24">
        <f>IF(F404="","",IFERROR(INDEX(Plan!$D:$D,MATCH(F404,Plan!$A:$A,0)),""))</f>
        <v/>
      </c>
      <c r="I404" s="17" t="n"/>
      <c r="J404" s="17" t="n"/>
      <c r="K404" s="17" t="n"/>
      <c r="L404" s="17" t="n"/>
      <c r="M404" s="17" t="n"/>
      <c r="N404" s="17" t="n"/>
      <c r="O404" s="17" t="n"/>
    </row>
  </sheetData>
  <autoFilter ref="A4:O404"/>
  <dataValidations count="3">
    <dataValidation sqref="F5:F404" showDropDown="0" showInputMessage="0" showErrorMessage="0" allowBlank="1" type="list">
      <formula1>=Lists!$A$2:$A$35</formula1>
    </dataValidation>
    <dataValidation sqref="I5:I404" showDropDown="0" showInputMessage="0" showErrorMessage="0" allowBlank="1" type="list">
      <formula1>=Lists!$B$2:$B$7</formula1>
    </dataValidation>
    <dataValidation sqref="C5:C404" showDropDown="0" showInputMessage="0" showErrorMessage="0" allowBlank="1" type="list">
      <formula1>"T11,REF"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Plan ID</t>
        </is>
      </c>
      <c r="B1" t="inlineStr">
        <is>
          <t>Position</t>
        </is>
      </c>
      <c r="D1" t="inlineStr">
        <is>
          <t>Chemistry sample point</t>
        </is>
      </c>
    </row>
    <row r="2">
      <c r="A2" t="inlineStr">
        <is>
          <t>CS01</t>
        </is>
      </c>
      <c r="B2" t="inlineStr">
        <is>
          <t>surface</t>
        </is>
      </c>
      <c r="D2" t="inlineStr">
        <is>
          <t>Furnace before correction</t>
        </is>
      </c>
    </row>
    <row r="3">
      <c r="A3" t="inlineStr">
        <is>
          <t>CS02</t>
        </is>
      </c>
      <c r="B3" t="inlineStr">
        <is>
          <t>quarter</t>
        </is>
      </c>
      <c r="D3" t="inlineStr">
        <is>
          <t>Furnace final</t>
        </is>
      </c>
    </row>
    <row r="4">
      <c r="A4" t="inlineStr">
        <is>
          <t>CS03</t>
        </is>
      </c>
      <c r="B4" t="inlineStr">
        <is>
          <t>centre</t>
        </is>
      </c>
      <c r="D4" t="inlineStr">
        <is>
          <t>Cast start</t>
        </is>
      </c>
    </row>
    <row r="5">
      <c r="A5" t="inlineStr">
        <is>
          <t>CS04</t>
        </is>
      </c>
      <c r="B5" t="inlineStr">
        <is>
          <t>edge</t>
        </is>
      </c>
      <c r="D5" t="inlineStr">
        <is>
          <t>Cast middle</t>
        </is>
      </c>
    </row>
    <row r="6">
      <c r="A6" t="inlineStr">
        <is>
          <t>CS05</t>
        </is>
      </c>
      <c r="B6" t="inlineStr">
        <is>
          <t>full section</t>
        </is>
      </c>
      <c r="D6" t="inlineStr">
        <is>
          <t>Cast end</t>
        </is>
      </c>
    </row>
    <row r="7">
      <c r="A7" t="inlineStr">
        <is>
          <t>CS06</t>
        </is>
      </c>
      <c r="B7" t="inlineStr">
        <is>
          <t>n/a</t>
        </is>
      </c>
      <c r="D7" t="inlineStr">
        <is>
          <t>Strip surface</t>
        </is>
      </c>
    </row>
    <row r="8">
      <c r="A8" t="inlineStr">
        <is>
          <t>CS07</t>
        </is>
      </c>
      <c r="D8" t="inlineStr">
        <is>
          <t>Strip centre</t>
        </is>
      </c>
    </row>
    <row r="9">
      <c r="A9" t="inlineStr">
        <is>
          <t>HB01</t>
        </is>
      </c>
      <c r="D9" t="inlineStr">
        <is>
          <t>Other</t>
        </is>
      </c>
    </row>
    <row r="10">
      <c r="A10" t="inlineStr">
        <is>
          <t>HB02</t>
        </is>
      </c>
    </row>
    <row r="11">
      <c r="A11" t="inlineStr">
        <is>
          <t>HB03</t>
        </is>
      </c>
    </row>
    <row r="12">
      <c r="A12" t="inlineStr">
        <is>
          <t>CR01</t>
        </is>
      </c>
    </row>
    <row r="13">
      <c r="A13" t="inlineStr">
        <is>
          <t>CR02</t>
        </is>
      </c>
    </row>
    <row r="14">
      <c r="A14" t="inlineStr">
        <is>
          <t>CR03</t>
        </is>
      </c>
    </row>
    <row r="15">
      <c r="A15" t="inlineStr">
        <is>
          <t>CR04</t>
        </is>
      </c>
    </row>
    <row r="16">
      <c r="A16" t="inlineStr">
        <is>
          <t>SL01</t>
        </is>
      </c>
    </row>
    <row r="17">
      <c r="A17" t="inlineStr">
        <is>
          <t>SL02</t>
        </is>
      </c>
    </row>
    <row r="18">
      <c r="A18" t="inlineStr">
        <is>
          <t>SL03</t>
        </is>
      </c>
    </row>
    <row r="19">
      <c r="A19" t="inlineStr">
        <is>
          <t>SL04</t>
        </is>
      </c>
    </row>
    <row r="20">
      <c r="A20" t="inlineStr">
        <is>
          <t>SL05</t>
        </is>
      </c>
    </row>
    <row r="21">
      <c r="A21" t="inlineStr">
        <is>
          <t>SL06</t>
        </is>
      </c>
    </row>
    <row r="22">
      <c r="A22" t="inlineStr">
        <is>
          <t>SL07</t>
        </is>
      </c>
    </row>
    <row r="23">
      <c r="A23" t="inlineStr">
        <is>
          <t>SL08</t>
        </is>
      </c>
    </row>
    <row r="24">
      <c r="A24" t="inlineStr">
        <is>
          <t>EX01</t>
        </is>
      </c>
    </row>
    <row r="25">
      <c r="A25" t="inlineStr">
        <is>
          <t>EX02</t>
        </is>
      </c>
    </row>
    <row r="26">
      <c r="A26" t="inlineStr">
        <is>
          <t>EX03</t>
        </is>
      </c>
    </row>
    <row r="27">
      <c r="A27" t="inlineStr">
        <is>
          <t>EX04</t>
        </is>
      </c>
    </row>
    <row r="28">
      <c r="A28" t="inlineStr">
        <is>
          <t>K01</t>
        </is>
      </c>
    </row>
    <row r="29">
      <c r="A29" t="inlineStr">
        <is>
          <t>K02</t>
        </is>
      </c>
    </row>
    <row r="30">
      <c r="A30" t="inlineStr">
        <is>
          <t>K03</t>
        </is>
      </c>
    </row>
    <row r="31">
      <c r="A31" t="inlineStr">
        <is>
          <t>K04</t>
        </is>
      </c>
    </row>
    <row r="32">
      <c r="A32" t="inlineStr">
        <is>
          <t>K05</t>
        </is>
      </c>
    </row>
    <row r="33">
      <c r="A33" t="inlineStr">
        <is>
          <t>K06</t>
        </is>
      </c>
    </row>
    <row r="34">
      <c r="A34" t="inlineStr">
        <is>
          <t>K07</t>
        </is>
      </c>
    </row>
    <row r="35">
      <c r="A35" t="inlineStr">
        <is>
          <t>K08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2026-10-12T20:55:56Z</dcterms:created>
  <dcterms:modified xmlns:dcterms="http://purl.org/dc/terms/" xmlns:xsi="http://www.w3.org/2001/XMLSchema-instance" xsi:type="dcterms:W3CDTF">2026-10-12T20:55:56Z</dcterms:modified>
</cp:coreProperties>
</file>